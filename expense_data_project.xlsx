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3fc5cf85362a9757/Desktop/ME/Projects/"/>
    </mc:Choice>
  </mc:AlternateContent>
  <xr:revisionPtr revIDLastSave="1964" documentId="8_{F12FA11B-5036-4530-A5BF-E3648BAACBAE}" xr6:coauthVersionLast="47" xr6:coauthVersionMax="47" xr10:uidLastSave="{B81BC932-3B7C-4AE7-9B2D-BD79A1550D16}"/>
  <bookViews>
    <workbookView xWindow="-110" yWindow="-110" windowWidth="19420" windowHeight="12220" tabRatio="673" activeTab="5" xr2:uid="{40589692-E5C8-4AD3-B15E-E6786373443C}"/>
  </bookViews>
  <sheets>
    <sheet name="piovet" sheetId="6" r:id="rId1"/>
    <sheet name="piovet 2" sheetId="8" r:id="rId2"/>
    <sheet name="design" sheetId="9" r:id="rId3"/>
    <sheet name="main data" sheetId="1" r:id="rId4"/>
    <sheet name="theme" sheetId="2" r:id="rId5"/>
    <sheet name="data" sheetId="3" r:id="rId6"/>
  </sheets>
  <definedNames>
    <definedName name="Slicer_Account">#N/A</definedName>
    <definedName name="Slicer_Category">#N/A</definedName>
    <definedName name="Slicer_Income_Expens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6" l="1"/>
  <c r="B22" i="6"/>
  <c r="B21" i="6"/>
  <c r="B17" i="6"/>
  <c r="B20" i="6" s="1"/>
  <c r="A20" i="6"/>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H2" i="1" a="1"/>
  <c r="H2" i="1" s="1"/>
  <c r="G2" i="1" s="1"/>
  <c r="N2" i="1"/>
  <c r="O2" i="1"/>
  <c r="M2" i="1"/>
  <c r="L2" i="1"/>
  <c r="J2" i="1"/>
  <c r="I2" i="1"/>
  <c r="K2" i="1" l="1"/>
  <c r="G14" i="1"/>
  <c r="G13" i="1"/>
  <c r="G12" i="1"/>
  <c r="G11" i="1"/>
  <c r="G10" i="1"/>
  <c r="G9" i="1"/>
  <c r="G8" i="1"/>
  <c r="G7" i="1"/>
  <c r="G3" i="1"/>
  <c r="G6" i="1"/>
  <c r="G5" i="1"/>
  <c r="G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<sst xmlns="http://schemas.openxmlformats.org/spreadsheetml/2006/main" count="1330" uniqueCount="367">
  <si>
    <t>Date</t>
  </si>
  <si>
    <t>Account</t>
  </si>
  <si>
    <t>Category</t>
  </si>
  <si>
    <t>INR</t>
  </si>
  <si>
    <t>Income/Expense</t>
  </si>
  <si>
    <t>CUB - online payment</t>
  </si>
  <si>
    <t>Food</t>
  </si>
  <si>
    <t>Brownie</t>
  </si>
  <si>
    <t>Expense</t>
  </si>
  <si>
    <t>Other</t>
  </si>
  <si>
    <t>To lended people</t>
  </si>
  <si>
    <t>Dinner</t>
  </si>
  <si>
    <t>Transportation</t>
  </si>
  <si>
    <t>Metro</t>
  </si>
  <si>
    <t>Snacks</t>
  </si>
  <si>
    <t>From vicky</t>
  </si>
  <si>
    <t>Income</t>
  </si>
  <si>
    <t>From dad</t>
  </si>
  <si>
    <t>2/28/2022 11:56</t>
  </si>
  <si>
    <t>Pizza</t>
  </si>
  <si>
    <t>2/28/2022 11:45</t>
  </si>
  <si>
    <t>From kumara</t>
  </si>
  <si>
    <t>2/27/2022 15:29</t>
  </si>
  <si>
    <t>Lunch</t>
  </si>
  <si>
    <t>2/26/2022 17:37</t>
  </si>
  <si>
    <t>To karthi</t>
  </si>
  <si>
    <t>Social Life</t>
  </si>
  <si>
    <t>2/26/2022 14:07</t>
  </si>
  <si>
    <t>2/26/2022 1:39</t>
  </si>
  <si>
    <t>Tea lights</t>
  </si>
  <si>
    <t>Household</t>
  </si>
  <si>
    <t>2/24/2022 22:21</t>
  </si>
  <si>
    <t>Creamstone</t>
  </si>
  <si>
    <t>2/24/2022 19:15</t>
  </si>
  <si>
    <t>Tamen</t>
  </si>
  <si>
    <t>2/23/2022 17:35</t>
  </si>
  <si>
    <t>Apparel</t>
  </si>
  <si>
    <t>Hoodie for gobi</t>
  </si>
  <si>
    <t>2/23/2022 16:06</t>
  </si>
  <si>
    <t>Eggs</t>
  </si>
  <si>
    <t>2/23/2022 12:38</t>
  </si>
  <si>
    <t>Earphone</t>
  </si>
  <si>
    <t>2/22/2022 6:33</t>
  </si>
  <si>
    <t>Auto to laxmi mills</t>
  </si>
  <si>
    <t>2/21/2022 22:15</t>
  </si>
  <si>
    <t>It better be worth it</t>
  </si>
  <si>
    <t>2/21/2022 16:06</t>
  </si>
  <si>
    <t>Travel to koyambedu</t>
  </si>
  <si>
    <t>2/21/2022 15:40</t>
  </si>
  <si>
    <t>Stuffs</t>
  </si>
  <si>
    <t>2/21/2022 15:38</t>
  </si>
  <si>
    <t>Train cbe to chn</t>
  </si>
  <si>
    <t>2/20/2022 15:24</t>
  </si>
  <si>
    <t>2/19/2022 23:03</t>
  </si>
  <si>
    <t>Random stuff for drinks</t>
  </si>
  <si>
    <t>2/19/2022 21:57</t>
  </si>
  <si>
    <t>2/19/2022 21:35</t>
  </si>
  <si>
    <t>Bus ticket</t>
  </si>
  <si>
    <t>2/19/2022 20:45</t>
  </si>
  <si>
    <t>Took from sbi</t>
  </si>
  <si>
    <t>Ramen with gobi</t>
  </si>
  <si>
    <t>2/19/2022 8:26</t>
  </si>
  <si>
    <t>2/19/2022 6:27</t>
  </si>
  <si>
    <t>To auto anna</t>
  </si>
  <si>
    <t>2/19/2022 6:18</t>
  </si>
  <si>
    <t>To egmore</t>
  </si>
  <si>
    <t>2/18/2022 23:01</t>
  </si>
  <si>
    <t>Kfc dinner</t>
  </si>
  <si>
    <t>2/17/2022 13:11</t>
  </si>
  <si>
    <t>2/16/2022 16:57</t>
  </si>
  <si>
    <t>Side dishes</t>
  </si>
  <si>
    <t xml:space="preserve">Kfc </t>
  </si>
  <si>
    <t>2/13/2022 21:54</t>
  </si>
  <si>
    <t xml:space="preserve">Games </t>
  </si>
  <si>
    <t>Dinner with aravind and buddies</t>
  </si>
  <si>
    <t>Mirror</t>
  </si>
  <si>
    <t>Dinner with aravind</t>
  </si>
  <si>
    <t>Bean bag</t>
  </si>
  <si>
    <t>Auto to Gobi's place</t>
  </si>
  <si>
    <t>Cakepark</t>
  </si>
  <si>
    <t>To kumara</t>
  </si>
  <si>
    <t>To chennai</t>
  </si>
  <si>
    <t>Salary from dad</t>
  </si>
  <si>
    <t>To gobi</t>
  </si>
  <si>
    <t>Shawarma</t>
  </si>
  <si>
    <t>Good soup</t>
  </si>
  <si>
    <t>To gowdham</t>
  </si>
  <si>
    <t>Parotta</t>
  </si>
  <si>
    <t>1/31/2022 8:44</t>
  </si>
  <si>
    <t>Vnr to apk</t>
  </si>
  <si>
    <t>1/31/2022 8:27</t>
  </si>
  <si>
    <t>To vicky</t>
  </si>
  <si>
    <t>1/31/2022 8:26</t>
  </si>
  <si>
    <t>To ksr station</t>
  </si>
  <si>
    <t>1/30/2022 19:17</t>
  </si>
  <si>
    <t>1/30/2022 19:01</t>
  </si>
  <si>
    <t xml:space="preserve">Cycle gap </t>
  </si>
  <si>
    <t>1/30/2022 12:28</t>
  </si>
  <si>
    <t>Brunch</t>
  </si>
  <si>
    <t>1/29/2022 21:56</t>
  </si>
  <si>
    <t>Rapido to pg</t>
  </si>
  <si>
    <t>1/29/2022 14:44</t>
  </si>
  <si>
    <t>Sent to barath</t>
  </si>
  <si>
    <t>1/28/2022 21:58</t>
  </si>
  <si>
    <t>Banana</t>
  </si>
  <si>
    <t>1/28/2022 14:23</t>
  </si>
  <si>
    <t>Lunch with company</t>
  </si>
  <si>
    <t>1/27/2022 21:25</t>
  </si>
  <si>
    <t>1/27/2022 13:41</t>
  </si>
  <si>
    <t>To vishnu</t>
  </si>
  <si>
    <t>1/27/2022 13:39</t>
  </si>
  <si>
    <t>Zinger box meal</t>
  </si>
  <si>
    <t>1/27/2022 13:38</t>
  </si>
  <si>
    <t>1/26/2022 17:45</t>
  </si>
  <si>
    <t>Vishnu 100 gowdham 25</t>
  </si>
  <si>
    <t>1/26/2022 16:52</t>
  </si>
  <si>
    <t>Paani poori</t>
  </si>
  <si>
    <t>1/25/2022 13:35</t>
  </si>
  <si>
    <t>Kfc date with myself</t>
  </si>
  <si>
    <t>1/25/2022 10:23</t>
  </si>
  <si>
    <t>Lemon tea</t>
  </si>
  <si>
    <t>1/25/2022 9:20</t>
  </si>
  <si>
    <t>Train to vnr</t>
  </si>
  <si>
    <t>1/24/2022 20:17</t>
  </si>
  <si>
    <t>Snack</t>
  </si>
  <si>
    <t>1/24/2022 14:08</t>
  </si>
  <si>
    <t>1/23/2022 21:45</t>
  </si>
  <si>
    <t>Pepsi</t>
  </si>
  <si>
    <t>1/23/2022 21:41</t>
  </si>
  <si>
    <t>1/23/2022 21:29</t>
  </si>
  <si>
    <t>Sent to vicky</t>
  </si>
  <si>
    <t>1/23/2022 21:27</t>
  </si>
  <si>
    <t>Snacks with preethi and azar</t>
  </si>
  <si>
    <t>Badminton</t>
  </si>
  <si>
    <t>1/21/2022 14:22</t>
  </si>
  <si>
    <t>1/21/2022 11:47</t>
  </si>
  <si>
    <t>1/19/2022 14:27</t>
  </si>
  <si>
    <t>Lunch + chocolate for preethi</t>
  </si>
  <si>
    <t>1/18/2022 20:54</t>
  </si>
  <si>
    <t>1/18/2022 17:10</t>
  </si>
  <si>
    <t>Snack with preethi</t>
  </si>
  <si>
    <t>1/18/2022 13:51</t>
  </si>
  <si>
    <t>1/18/2022 12:59</t>
  </si>
  <si>
    <t>1/17/2022 18:31</t>
  </si>
  <si>
    <t>Eve snack</t>
  </si>
  <si>
    <t>1/15/2022 21:17</t>
  </si>
  <si>
    <t>Bus to Bangalore</t>
  </si>
  <si>
    <t>1/15/2022 21:16</t>
  </si>
  <si>
    <t>1/14/2022 16:58</t>
  </si>
  <si>
    <t>Kumara</t>
  </si>
  <si>
    <t>1/14/2022 16:56</t>
  </si>
  <si>
    <t>Siva + 100 cash</t>
  </si>
  <si>
    <t>Gundan + prasanna</t>
  </si>
  <si>
    <t>1/14/2022 16:55</t>
  </si>
  <si>
    <t>Dinesh and maddy + 100 cash</t>
  </si>
  <si>
    <t>1/14/2022 16:54</t>
  </si>
  <si>
    <t>From gowdham</t>
  </si>
  <si>
    <t>Lunch pongal</t>
  </si>
  <si>
    <t>1/13/2022 20:46</t>
  </si>
  <si>
    <t>1/13/2022 19:10</t>
  </si>
  <si>
    <t>1/13/2022 17:47</t>
  </si>
  <si>
    <t>Recharge by gowdham</t>
  </si>
  <si>
    <t>Lunch with not preethi</t>
  </si>
  <si>
    <t>Friday snacks with preethi gang</t>
  </si>
  <si>
    <t>Lunch with gowdham</t>
  </si>
  <si>
    <t>Rent</t>
  </si>
  <si>
    <t>Coffee + biscuit</t>
  </si>
  <si>
    <t>From barath and shakur</t>
  </si>
  <si>
    <t>Ketch up</t>
  </si>
  <si>
    <t>Dinner with roommate</t>
  </si>
  <si>
    <t>Bingo</t>
  </si>
  <si>
    <t>McDonald's with company</t>
  </si>
  <si>
    <t>Lended money returned to vishnu</t>
  </si>
  <si>
    <t>Lended money returned to kumara</t>
  </si>
  <si>
    <t>Jan 2nd with shakur and barath</t>
  </si>
  <si>
    <t>To gobi 1st 1/4th</t>
  </si>
  <si>
    <t>To abijith and to vicky lend money returned</t>
  </si>
  <si>
    <t>Refund for bus ticket</t>
  </si>
  <si>
    <t>Education</t>
  </si>
  <si>
    <t>Arrear and reval fee</t>
  </si>
  <si>
    <t>Salary</t>
  </si>
  <si>
    <t>Sent to preethi</t>
  </si>
  <si>
    <t>Dairy milk</t>
  </si>
  <si>
    <t>From barath</t>
  </si>
  <si>
    <t>From gpay</t>
  </si>
  <si>
    <t>From shakur</t>
  </si>
  <si>
    <t>Lunch unlimited nv</t>
  </si>
  <si>
    <t>From abi</t>
  </si>
  <si>
    <t>Tablet to gowdham</t>
  </si>
  <si>
    <t>Dinner with barath</t>
  </si>
  <si>
    <t>Allowance</t>
  </si>
  <si>
    <t>12/30/2021 14:10</t>
  </si>
  <si>
    <t>To barath</t>
  </si>
  <si>
    <t>12/30/2021 13:56</t>
  </si>
  <si>
    <t>Pg to office</t>
  </si>
  <si>
    <t>12/30/2021 13:36</t>
  </si>
  <si>
    <t>12/30/2021 12:43</t>
  </si>
  <si>
    <t>Horlicks + kolakattai</t>
  </si>
  <si>
    <t>12/30/2021 12:38</t>
  </si>
  <si>
    <t>Bommasandra to pg</t>
  </si>
  <si>
    <t>12/30/2021 12:37</t>
  </si>
  <si>
    <t>From Deepak</t>
  </si>
  <si>
    <t>12/30/2021 11:45</t>
  </si>
  <si>
    <t>Water</t>
  </si>
  <si>
    <t>Rapido + toll</t>
  </si>
  <si>
    <t>12/30/2021 11:44</t>
  </si>
  <si>
    <t>12/28/2021 13:42</t>
  </si>
  <si>
    <t>Coffee and thattai</t>
  </si>
  <si>
    <t>12/27/2021 13:45</t>
  </si>
  <si>
    <t>Lunch with barath</t>
  </si>
  <si>
    <t>12/27/2021 13:44</t>
  </si>
  <si>
    <t>12/27/2021 12:33</t>
  </si>
  <si>
    <t>From ganesan</t>
  </si>
  <si>
    <t>Coconut water with stu</t>
  </si>
  <si>
    <t>12/25/2021 22:53</t>
  </si>
  <si>
    <t>12/25/2021 20:46</t>
  </si>
  <si>
    <t>Cab</t>
  </si>
  <si>
    <t>12/25/2021 19:50</t>
  </si>
  <si>
    <t>Self-development</t>
  </si>
  <si>
    <t>Books</t>
  </si>
  <si>
    <t>12/25/2021 17:01</t>
  </si>
  <si>
    <t>Corn</t>
  </si>
  <si>
    <t>12/25/2021 15:35</t>
  </si>
  <si>
    <t>12/25/2021 13:32</t>
  </si>
  <si>
    <t>Milk with bharath</t>
  </si>
  <si>
    <t>12/24/2021 21:49</t>
  </si>
  <si>
    <t>Beer</t>
  </si>
  <si>
    <t>12/24/2021 14:35</t>
  </si>
  <si>
    <t>12/23/2021 16:31</t>
  </si>
  <si>
    <t>Lemon tea with company</t>
  </si>
  <si>
    <t>12/23/2021 13:51</t>
  </si>
  <si>
    <t>Puffs and coffee</t>
  </si>
  <si>
    <t>12/21/2021 20:53</t>
  </si>
  <si>
    <t>12/21/2021 14:02</t>
  </si>
  <si>
    <t>Puffs</t>
  </si>
  <si>
    <t>12/21/2021 11:43</t>
  </si>
  <si>
    <t>Bun</t>
  </si>
  <si>
    <t>12/20/2021 19:23</t>
  </si>
  <si>
    <t>12/20/2021 19:22</t>
  </si>
  <si>
    <t>Taxi</t>
  </si>
  <si>
    <t>12/20/2021 16:55</t>
  </si>
  <si>
    <t>12/20/2021 15:29</t>
  </si>
  <si>
    <t>12/20/2021 13:35</t>
  </si>
  <si>
    <t>12/20/2021 9:46</t>
  </si>
  <si>
    <t>12/19/2021 15:51</t>
  </si>
  <si>
    <t>To siva</t>
  </si>
  <si>
    <t>12/18/2021 21:01</t>
  </si>
  <si>
    <t>To abijith</t>
  </si>
  <si>
    <t>12/18/2021 21:00</t>
  </si>
  <si>
    <t>To rahul</t>
  </si>
  <si>
    <t>12/18/2021 19:52</t>
  </si>
  <si>
    <t>Lended money</t>
  </si>
  <si>
    <t>12/18/2021 19:51</t>
  </si>
  <si>
    <t xml:space="preserve">Spiderman </t>
  </si>
  <si>
    <t>12/18/2021 14:19</t>
  </si>
  <si>
    <t>12/17/2021 18:54</t>
  </si>
  <si>
    <t>12/17/2021 14:45</t>
  </si>
  <si>
    <t>12/17/2021 8:35</t>
  </si>
  <si>
    <t>Gave to gowdham</t>
  </si>
  <si>
    <t>12/16/2021 18:44</t>
  </si>
  <si>
    <t>Egg</t>
  </si>
  <si>
    <t>12/16/2021 18:35</t>
  </si>
  <si>
    <t>Panipoori</t>
  </si>
  <si>
    <t>12/16/2021 13:38</t>
  </si>
  <si>
    <t>12/16/2021 10:42</t>
  </si>
  <si>
    <t>12/14/2021 23:54</t>
  </si>
  <si>
    <t>12/14/2021 21:21</t>
  </si>
  <si>
    <t>12/14/2021 21:03</t>
  </si>
  <si>
    <t>12/14/2021 15:18</t>
  </si>
  <si>
    <t>12/14/2021 10:33</t>
  </si>
  <si>
    <t>From stu</t>
  </si>
  <si>
    <t>Shopping</t>
  </si>
  <si>
    <t>Momos</t>
  </si>
  <si>
    <t>Snack with bharath</t>
  </si>
  <si>
    <t>Breakfast with stu</t>
  </si>
  <si>
    <t>Lunch with stu</t>
  </si>
  <si>
    <t>Cash</t>
  </si>
  <si>
    <t>5 star</t>
  </si>
  <si>
    <t>Milk</t>
  </si>
  <si>
    <t>Horlicks</t>
  </si>
  <si>
    <t>Shoe</t>
  </si>
  <si>
    <t>Cap</t>
  </si>
  <si>
    <t>Full hand and a hoodie</t>
  </si>
  <si>
    <t>For company</t>
  </si>
  <si>
    <t>Breakfast</t>
  </si>
  <si>
    <t>Belt</t>
  </si>
  <si>
    <t>Mask</t>
  </si>
  <si>
    <t>Ice cream</t>
  </si>
  <si>
    <t>Vadapaav</t>
  </si>
  <si>
    <t>Beauty</t>
  </si>
  <si>
    <t>Showergel</t>
  </si>
  <si>
    <t>11/30/2021 14:24</t>
  </si>
  <si>
    <t>Gift</t>
  </si>
  <si>
    <t>Bharath birthday</t>
  </si>
  <si>
    <t>11/30/2021 14:17</t>
  </si>
  <si>
    <t>11/30/2021 10:11</t>
  </si>
  <si>
    <t>11/29/2021 20:47</t>
  </si>
  <si>
    <t>11/29/2021 20:09</t>
  </si>
  <si>
    <t>11/29/2021 9:29</t>
  </si>
  <si>
    <t>11/28/2021 19:59</t>
  </si>
  <si>
    <t>11/28/2021 13:10</t>
  </si>
  <si>
    <t>Zomato</t>
  </si>
  <si>
    <t>11/27/2021 23:14</t>
  </si>
  <si>
    <t>Dinner with gowdham</t>
  </si>
  <si>
    <t>11/27/2021 22:34</t>
  </si>
  <si>
    <t>11/27/2021 18:41</t>
  </si>
  <si>
    <t>Rapido</t>
  </si>
  <si>
    <t>11/27/2021 13:46</t>
  </si>
  <si>
    <t>11/27/2021 9:33</t>
  </si>
  <si>
    <t>11/26/2021 21:56</t>
  </si>
  <si>
    <t>11/26/2021 20:57</t>
  </si>
  <si>
    <t>11/26/2021 20:15</t>
  </si>
  <si>
    <t>11/26/2021 14:14</t>
  </si>
  <si>
    <t>Petty cash</t>
  </si>
  <si>
    <t>Cashback</t>
  </si>
  <si>
    <t>11/26/2021 9:22</t>
  </si>
  <si>
    <t>11/25/2021 20:27</t>
  </si>
  <si>
    <t>11/24/2021 19:26</t>
  </si>
  <si>
    <t>11/24/2021 19:23</t>
  </si>
  <si>
    <t>11/24/2021 19:06</t>
  </si>
  <si>
    <t>11/23/2021 22:53</t>
  </si>
  <si>
    <t>11/22/2021 14:16</t>
  </si>
  <si>
    <t>11/21/2021 17:07</t>
  </si>
  <si>
    <t>11/21/2021 15:50</t>
  </si>
  <si>
    <t>11/21/2021 13:30</t>
  </si>
  <si>
    <t>Got from gobi</t>
  </si>
  <si>
    <t>🎨 Main Color Palette (with Names)</t>
  </si>
  <si>
    <t>🟩 Dark Teal / Primary UI</t>
  </si>
  <si>
    <r>
      <t>#08383C</t>
    </r>
    <r>
      <rPr>
        <sz val="11"/>
        <color theme="1"/>
        <rFont val="Aptos Narrow"/>
        <family val="2"/>
        <scheme val="minor"/>
      </rPr>
      <t xml:space="preserve"> — </t>
    </r>
    <r>
      <rPr>
        <b/>
        <sz val="11"/>
        <color theme="1"/>
        <rFont val="Aptos Narrow"/>
        <family val="2"/>
        <scheme val="minor"/>
      </rPr>
      <t>Dark Teal</t>
    </r>
  </si>
  <si>
    <r>
      <t>#0A3D40</t>
    </r>
    <r>
      <rPr>
        <sz val="11"/>
        <color theme="1"/>
        <rFont val="Aptos Narrow"/>
        <family val="2"/>
        <scheme val="minor"/>
      </rPr>
      <t xml:space="preserve"> — </t>
    </r>
    <r>
      <rPr>
        <b/>
        <sz val="11"/>
        <color theme="1"/>
        <rFont val="Aptos Narrow"/>
        <family val="2"/>
        <scheme val="minor"/>
      </rPr>
      <t>Deep Teal</t>
    </r>
  </si>
  <si>
    <r>
      <t>#042224</t>
    </r>
    <r>
      <rPr>
        <sz val="11"/>
        <color theme="1"/>
        <rFont val="Aptos Narrow"/>
        <family val="2"/>
        <scheme val="minor"/>
      </rPr>
      <t xml:space="preserve"> — </t>
    </r>
    <r>
      <rPr>
        <b/>
        <sz val="11"/>
        <color theme="1"/>
        <rFont val="Aptos Narrow"/>
        <family val="2"/>
        <scheme val="minor"/>
      </rPr>
      <t>Very Dark Teal</t>
    </r>
  </si>
  <si>
    <r>
      <t>#093A3E</t>
    </r>
    <r>
      <rPr>
        <sz val="11"/>
        <color theme="1"/>
        <rFont val="Aptos Narrow"/>
        <family val="2"/>
        <scheme val="minor"/>
      </rPr>
      <t xml:space="preserve"> — </t>
    </r>
    <r>
      <rPr>
        <b/>
        <sz val="11"/>
        <color theme="1"/>
        <rFont val="Aptos Narrow"/>
        <family val="2"/>
        <scheme val="minor"/>
      </rPr>
      <t>Muted Teal</t>
    </r>
  </si>
  <si>
    <r>
      <t>#093234</t>
    </r>
    <r>
      <rPr>
        <sz val="11"/>
        <color theme="1"/>
        <rFont val="Aptos Narrow"/>
        <family val="2"/>
        <scheme val="minor"/>
      </rPr>
      <t xml:space="preserve"> — </t>
    </r>
    <r>
      <rPr>
        <b/>
        <sz val="11"/>
        <color theme="1"/>
        <rFont val="Aptos Narrow"/>
        <family val="2"/>
        <scheme val="minor"/>
      </rPr>
      <t>Teal Black</t>
    </r>
  </si>
  <si>
    <t>⚪ Light Background / Whites</t>
  </si>
  <si>
    <r>
      <t>#FFFFFF</t>
    </r>
    <r>
      <rPr>
        <sz val="11"/>
        <color theme="1"/>
        <rFont val="Aptos Narrow"/>
        <family val="2"/>
        <scheme val="minor"/>
      </rPr>
      <t xml:space="preserve"> — </t>
    </r>
    <r>
      <rPr>
        <b/>
        <sz val="11"/>
        <color theme="1"/>
        <rFont val="Aptos Narrow"/>
        <family val="2"/>
        <scheme val="minor"/>
      </rPr>
      <t>Pure White</t>
    </r>
  </si>
  <si>
    <r>
      <t>#F3F7F6</t>
    </r>
    <r>
      <rPr>
        <sz val="11"/>
        <color theme="1"/>
        <rFont val="Aptos Narrow"/>
        <family val="2"/>
        <scheme val="minor"/>
      </rPr>
      <t xml:space="preserve"> — </t>
    </r>
    <r>
      <rPr>
        <b/>
        <sz val="11"/>
        <color theme="1"/>
        <rFont val="Aptos Narrow"/>
        <family val="2"/>
        <scheme val="minor"/>
      </rPr>
      <t>Soft Mint White</t>
    </r>
  </si>
  <si>
    <r>
      <t>#F4F8F7</t>
    </r>
    <r>
      <rPr>
        <sz val="11"/>
        <color theme="1"/>
        <rFont val="Aptos Narrow"/>
        <family val="2"/>
        <scheme val="minor"/>
      </rPr>
      <t xml:space="preserve"> — </t>
    </r>
    <r>
      <rPr>
        <b/>
        <sz val="11"/>
        <color theme="1"/>
        <rFont val="Aptos Narrow"/>
        <family val="2"/>
        <scheme val="minor"/>
      </rPr>
      <t>Light Mint Grey</t>
    </r>
  </si>
  <si>
    <r>
      <t>#F5F7F6</t>
    </r>
    <r>
      <rPr>
        <sz val="11"/>
        <color theme="1"/>
        <rFont val="Aptos Narrow"/>
        <family val="2"/>
        <scheme val="minor"/>
      </rPr>
      <t xml:space="preserve"> — </t>
    </r>
    <r>
      <rPr>
        <b/>
        <sz val="11"/>
        <color theme="1"/>
        <rFont val="Aptos Narrow"/>
        <family val="2"/>
        <scheme val="minor"/>
      </rPr>
      <t>Cool White</t>
    </r>
  </si>
  <si>
    <r>
      <t>#F3F9F7</t>
    </r>
    <r>
      <rPr>
        <sz val="11"/>
        <color theme="1"/>
        <rFont val="Aptos Narrow"/>
        <family val="2"/>
        <scheme val="minor"/>
      </rPr>
      <t xml:space="preserve"> — </t>
    </r>
    <r>
      <rPr>
        <b/>
        <sz val="11"/>
        <color theme="1"/>
        <rFont val="Aptos Narrow"/>
        <family val="2"/>
        <scheme val="minor"/>
      </rPr>
      <t>Pale Mint</t>
    </r>
  </si>
  <si>
    <r>
      <t>#F2F8F6</t>
    </r>
    <r>
      <rPr>
        <sz val="11"/>
        <color theme="1"/>
        <rFont val="Aptos Narrow"/>
        <family val="2"/>
        <scheme val="minor"/>
      </rPr>
      <t xml:space="preserve"> — </t>
    </r>
    <r>
      <rPr>
        <b/>
        <sz val="11"/>
        <color theme="1"/>
        <rFont val="Aptos Narrow"/>
        <family val="2"/>
        <scheme val="minor"/>
      </rPr>
      <t>Very Light Mint</t>
    </r>
  </si>
  <si>
    <r>
      <t>#E8F5EE</t>
    </r>
    <r>
      <rPr>
        <sz val="11"/>
        <color theme="1"/>
        <rFont val="Aptos Narrow"/>
        <family val="2"/>
        <scheme val="minor"/>
      </rPr>
      <t xml:space="preserve"> — </t>
    </r>
    <r>
      <rPr>
        <b/>
        <sz val="11"/>
        <color theme="1"/>
        <rFont val="Aptos Narrow"/>
        <family val="2"/>
        <scheme val="minor"/>
      </rPr>
      <t>Mint Cream</t>
    </r>
  </si>
  <si>
    <t>🩶 Neutral / Background</t>
  </si>
  <si>
    <r>
      <t>#85858F</t>
    </r>
    <r>
      <rPr>
        <sz val="11"/>
        <color theme="1"/>
        <rFont val="Aptos Narrow"/>
        <family val="2"/>
        <scheme val="minor"/>
      </rPr>
      <t xml:space="preserve"> — </t>
    </r>
    <r>
      <rPr>
        <b/>
        <sz val="11"/>
        <color theme="1"/>
        <rFont val="Aptos Narrow"/>
        <family val="2"/>
        <scheme val="minor"/>
      </rPr>
      <t>Cool Grey</t>
    </r>
  </si>
  <si>
    <t>🌿 Accent Greens (UI Highlights)</t>
  </si>
  <si>
    <r>
      <t>#2ECC71</t>
    </r>
    <r>
      <rPr>
        <sz val="11"/>
        <color theme="1"/>
        <rFont val="Aptos Narrow"/>
        <family val="2"/>
        <scheme val="minor"/>
      </rPr>
      <t xml:space="preserve"> — </t>
    </r>
    <r>
      <rPr>
        <b/>
        <sz val="11"/>
        <color theme="1"/>
        <rFont val="Aptos Narrow"/>
        <family val="2"/>
        <scheme val="minor"/>
      </rPr>
      <t>Emerald Green</t>
    </r>
  </si>
  <si>
    <r>
      <t>#27AE60</t>
    </r>
    <r>
      <rPr>
        <sz val="11"/>
        <color theme="1"/>
        <rFont val="Aptos Narrow"/>
        <family val="2"/>
        <scheme val="minor"/>
      </rPr>
      <t xml:space="preserve"> — </t>
    </r>
    <r>
      <rPr>
        <b/>
        <sz val="11"/>
        <color theme="1"/>
        <rFont val="Aptos Narrow"/>
        <family val="2"/>
        <scheme val="minor"/>
      </rPr>
      <t>Forest Green</t>
    </r>
  </si>
  <si>
    <t>Unique</t>
  </si>
  <si>
    <t>total Income</t>
  </si>
  <si>
    <t>total Expence</t>
  </si>
  <si>
    <t>net</t>
  </si>
  <si>
    <t>Row Labels</t>
  </si>
  <si>
    <t>Grand Total</t>
  </si>
  <si>
    <t>net cash</t>
  </si>
  <si>
    <t>net online payment</t>
  </si>
  <si>
    <t>goods</t>
  </si>
  <si>
    <t>Sum of INR</t>
  </si>
  <si>
    <t>net amount online</t>
  </si>
  <si>
    <t>net amount cash</t>
  </si>
  <si>
    <t>net amount category</t>
  </si>
  <si>
    <t>total INR</t>
  </si>
  <si>
    <r>
      <t>#E8F5EE</t>
    </r>
    <r>
      <rPr>
        <sz val="11"/>
        <color theme="1"/>
        <rFont val="Aptos Narrow"/>
        <family val="2"/>
        <scheme val="minor"/>
      </rPr>
      <t xml:space="preserve"> — </t>
    </r>
    <r>
      <rPr>
        <b/>
        <sz val="11"/>
        <color theme="1"/>
        <rFont val="Aptos Narrow"/>
        <family val="2"/>
        <scheme val="minor"/>
      </rPr>
      <t>Rich Teal</t>
    </r>
  </si>
  <si>
    <t>#C2F2E4</t>
  </si>
  <si>
    <t>#EDF7BE</t>
  </si>
  <si>
    <t>#FFC065</t>
  </si>
  <si>
    <t>#35c8b4</t>
  </si>
  <si>
    <t>expence</t>
  </si>
  <si>
    <t>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</si>
</sst>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13.5"/>
      <color theme="1"/>
      <name val="Aptos Narrow"/>
      <family val="2"/>
      <scheme val="minor"/>
    </font>
    <font>
      <sz val="10"/>
      <color theme="1"/>
      <name val="Arial Unicode MS"/>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8F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22" fontId="0" fillId="0" borderId="0" xfId="0" applyNumberFormat="1" applyAlignment="1">
      <alignment horizontal="center"/>
    </xf>
    <xf numFmtId="0" fontId="18" fillId="0" borderId="0" xfId="0" applyFont="1" applyAlignment="1">
      <alignment vertical="center"/>
    </xf>
    <xf numFmtId="0" fontId="19" fillId="0" borderId="0" xfId="0" applyFont="1" applyAlignment="1">
      <alignment vertical="center"/>
    </xf>
    <xf numFmtId="0" fontId="0" fillId="0" borderId="0" xfId="0" applyAlignment="1">
      <alignment horizontal="left" vertical="center" indent="1"/>
    </xf>
    <xf numFmtId="0" fontId="20" fillId="0" borderId="0" xfId="0" applyFont="1" applyAlignment="1">
      <alignment horizontal="left" vertical="center" indent="1"/>
    </xf>
    <xf numFmtId="0" fontId="0" fillId="33" borderId="0" xfId="0" applyFill="1"/>
    <xf numFmtId="0" fontId="0" fillId="0" borderId="0" xfId="0" pivotButton="1"/>
    <xf numFmtId="0" fontId="0" fillId="0" borderId="0" xfId="0" applyAlignment="1">
      <alignment horizontal="left"/>
    </xf>
    <xf numFmtId="164" fontId="21" fillId="0" borderId="0" xfId="0" applyNumberFormat="1" applyFont="1" applyAlignment="1">
      <alignment horizontal="center"/>
    </xf>
    <xf numFmtId="0" fontId="16"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val="0"/>
        <i val="0"/>
        <color theme="6"/>
      </font>
    </dxf>
    <dxf>
      <font>
        <color rgb="FF9C0006"/>
      </font>
    </dxf>
    <dxf>
      <font>
        <b/>
        <i val="0"/>
      </font>
      <fill>
        <patternFill>
          <bgColor rgb="FFF4F8F7"/>
        </patternFill>
      </fill>
    </dxf>
    <dxf>
      <fill>
        <patternFill>
          <fgColor rgb="FFE8F5EE"/>
          <bgColor rgb="FF0A3D40"/>
        </patternFill>
      </fill>
    </dxf>
    <dxf>
      <fill>
        <patternFill patternType="none">
          <fgColor indexed="64"/>
          <bgColor auto="1"/>
        </patternFill>
      </fill>
    </dxf>
    <dxf>
      <fill>
        <patternFill patternType="solid">
          <fgColor rgb="FFF4F8F7"/>
          <bgColor rgb="FFE8F5EE"/>
        </patternFill>
      </fill>
    </dxf>
    <dxf>
      <fill>
        <patternFill>
          <bgColor theme="0"/>
        </patternFill>
      </fill>
    </dxf>
    <dxf>
      <fill>
        <patternFill>
          <bgColor theme="0"/>
        </patternFill>
      </fill>
    </dxf>
  </dxfs>
  <tableStyles count="6" defaultTableStyle="TableStyleMedium2" defaultPivotStyle="PivotStyleLight16">
    <tableStyle name="cash" pivot="0" table="0" count="4" xr9:uid="{14CCBF12-F07D-4E7C-B6F3-526476AD3BE6}">
      <tableStyleElement type="wholeTable" dxfId="7"/>
    </tableStyle>
    <tableStyle name="income/Expence" pivot="0" table="0" count="5" xr9:uid="{AEF0CEF0-576F-43B8-835E-8FDA60A9F130}">
      <tableStyleElement type="wholeTable" dxfId="6"/>
    </tableStyle>
    <tableStyle name="Slicer Style 1" pivot="0" table="0" count="1" xr9:uid="{EC4BA2C2-3CDB-46B3-9A0F-925CFCE266E6}">
      <tableStyleElement type="wholeTable" dxfId="5"/>
    </tableStyle>
    <tableStyle name="Slicer Style 2" pivot="0" table="0" count="2" xr9:uid="{205FB432-0B65-4540-9E93-E16BEE217E2B}">
      <tableStyleElement type="wholeTable" dxfId="4"/>
    </tableStyle>
    <tableStyle name="Slicer Style 3" pivot="0" table="0" count="4" xr9:uid="{3A3D2DC8-1A2E-4582-9BA5-99AFD80237C5}">
      <tableStyleElement type="wholeTable" dxfId="3"/>
    </tableStyle>
    <tableStyle name="theme slicer" pivot="0" table="0" count="4" xr9:uid="{824680EF-E845-43D8-A8F9-AB6B0E0DC10F}">
      <tableStyleElement type="wholeTable" dxfId="2"/>
    </tableStyle>
  </tableStyles>
  <colors>
    <mruColors>
      <color rgb="FF00272B"/>
      <color rgb="FFE0FF4F"/>
      <color rgb="FFFFD700"/>
      <color rgb="FFFFFDEE"/>
      <color rgb="FFE8F5EE"/>
      <color rgb="FF228656"/>
      <color rgb="FFF5F7F6"/>
      <color rgb="FFF3F7FF"/>
      <color rgb="FFFFC065"/>
      <color rgb="FFC5E5D3"/>
    </mruColors>
  </colors>
  <extLst>
    <ext xmlns:x14="http://schemas.microsoft.com/office/spreadsheetml/2009/9/main" uri="{46F421CA-312F-682f-3DD2-61675219B42D}">
      <x14:dxfs count="14">
        <dxf>
          <fill>
            <patternFill>
              <bgColor rgb="FFEDF7BE"/>
            </patternFill>
          </fill>
        </dxf>
        <dxf>
          <fill>
            <patternFill>
              <bgColor rgb="FFE8F5EE"/>
            </patternFill>
          </fill>
        </dxf>
        <dxf>
          <fill>
            <patternFill>
              <bgColor rgb="FFC5E5D3"/>
            </patternFill>
          </fill>
        </dxf>
        <dxf>
          <fill>
            <patternFill>
              <bgColor rgb="FFE8F5EE"/>
            </patternFill>
          </fill>
        </dxf>
        <dxf>
          <fill>
            <patternFill>
              <bgColor rgb="FFE8F5EE"/>
            </patternFill>
          </fill>
        </dxf>
        <dxf>
          <fill>
            <patternFill>
              <bgColor rgb="FF0A3D40"/>
            </patternFill>
          </fill>
        </dxf>
        <dxf>
          <fill>
            <patternFill>
              <bgColor rgb="FF0A3B3F"/>
            </patternFill>
          </fill>
        </dxf>
        <dxf>
          <fill>
            <patternFill>
              <bgColor rgb="FFFFE3B9"/>
            </patternFill>
          </fill>
        </dxf>
        <dxf>
          <fill>
            <patternFill>
              <bgColor rgb="FFF3F7FF"/>
            </patternFill>
          </fill>
        </dxf>
        <dxf>
          <fill>
            <patternFill>
              <bgColor rgb="FFFFCE85"/>
            </patternFill>
          </fill>
        </dxf>
        <dxf>
          <fill>
            <patternFill>
              <bgColor rgb="FFF3F7F6"/>
            </patternFill>
          </fill>
        </dxf>
        <dxf>
          <fill>
            <patternFill>
              <bgColor rgb="FFEDF7BE"/>
            </patternFill>
          </fill>
        </dxf>
        <dxf>
          <fill>
            <patternFill>
              <bgColor rgb="FFE8F5EE"/>
            </patternFill>
          </fill>
        </dxf>
        <dxf>
          <fill>
            <patternFill>
              <bgColor rgb="FFC5E5D3"/>
            </patternFill>
          </fill>
        </dxf>
      </x14:dxfs>
    </ext>
    <ext xmlns:x14="http://schemas.microsoft.com/office/spreadsheetml/2009/9/main" uri="{EB79DEF2-80B8-43e5-95BD-54CBDDF9020C}">
      <x14:slicerStyles defaultSlicerStyle="SlicerStyleLight1">
        <x14:slicerStyle name="cash">
          <x14:slicerStyleElements>
            <x14:slicerStyleElement type="selectedItemWithData" dxfId="13"/>
            <x14:slicerStyleElement type="hoveredUnselectedItemWithData" dxfId="12"/>
            <x14:slicerStyleElement type="hoveredSelectedItemWithData" dxfId="11"/>
          </x14:slicerStyleElements>
        </x14:slicerStyle>
        <x14:slicerStyle name="income/Expence">
          <x14:slicerStyleElements>
            <x14:slicerStyleElement type="unselectedItemWithData" dxfId="10"/>
            <x14:slicerStyleElement type="selectedItemWithData" dxfId="9"/>
            <x14:slicerStyleElement type="hoveredUnselectedItemWithData" dxfId="8"/>
            <x14:slicerStyleElement type="hoveredSelectedItemWithData" dxfId="7"/>
          </x14:slicerStyleElements>
        </x14:slicerStyle>
        <x14:slicerStyle name="Slicer Style 1"/>
        <x14:slicerStyle name="Slicer Style 2">
          <x14:slicerStyleElements>
            <x14:slicerStyleElement type="selectedItemWithData" dxfId="6"/>
          </x14:slicerStyleElements>
        </x14:slicerStyle>
        <x14:slicerStyle name="Slicer Style 3">
          <x14:slicerStyleElements>
            <x14:slicerStyleElement type="unselectedItemWithData" dxfId="5"/>
            <x14:slicerStyleElement type="selectedItemWithData" dxfId="4"/>
            <x14:slicerStyleElement type="hoveredSelectedItemWithData" dxfId="3"/>
          </x14:slicerStyleElements>
        </x14:slicerStyle>
        <x14:slicerStyle name="theme slicer">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[expense_data_project.xlsx]piovet!PivotTable2</c:name>
    <c:fmtId val="6"/>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
        <c:idx val="10"/>
        <c:spPr>
          <a:solidFill>
            <a:schemeClr val="accent4">
              <a:lumMod val="60000"/>
            </a:schemeClr>
          </a:solidFill>
          <a:ln>
            <a:noFill/>
          </a:ln>
          <a:effectLst>
            <a:outerShdw blurRad="63500" sx="102000" sy="102000" algn="ctr" rotWithShape="0">
              <a:prstClr val="black">
                <a:alpha val="20000"/>
              </a:prstClr>
            </a:outerShdw>
          </a:effectLst>
        </c:spPr>
      </c:pivotFmt>
      <c:pivotFmt>
        <c:idx val="11"/>
        <c:spPr>
          <a:solidFill>
            <a:schemeClr val="accent5">
              <a:lumMod val="60000"/>
            </a:schemeClr>
          </a:solidFill>
          <a:ln>
            <a:noFill/>
          </a:ln>
          <a:effectLst>
            <a:outerShdw blurRad="63500" sx="102000" sy="102000" algn="ctr" rotWithShape="0">
              <a:prstClr val="black">
                <a:alpha val="20000"/>
              </a:prstClr>
            </a:outerShdw>
          </a:effectLst>
        </c:spPr>
      </c:pivotFmt>
      <c:pivotFmt>
        <c:idx val="12"/>
        <c:spPr>
          <a:solidFill>
            <a:schemeClr val="accent6">
              <a:lumMod val="60000"/>
            </a:schemeClr>
          </a:solidFill>
          <a:ln>
            <a:noFill/>
          </a:ln>
          <a:effectLst>
            <a:outerShdw blurRad="63500" sx="102000" sy="102000" algn="ctr" rotWithShape="0">
              <a:prstClr val="black">
                <a:alpha val="20000"/>
              </a:prstClr>
            </a:outerShdw>
          </a:effectLst>
        </c:spPr>
      </c:pivotFmt>
      <c:pivotFmt>
        <c:idx val="13"/>
        <c:spPr>
          <a:solidFill>
            <a:schemeClr val="accent1">
              <a:lumMod val="80000"/>
              <a:lumOff val="20000"/>
            </a:schemeClr>
          </a:solidFill>
          <a:ln>
            <a:noFill/>
          </a:ln>
          <a:effectLst>
            <a:outerShdw blurRad="63500" sx="102000" sy="102000" algn="ctr" rotWithShape="0">
              <a:prstClr val="black">
                <a:alpha val="20000"/>
              </a:prstClr>
            </a:outerShdw>
          </a:effectLst>
        </c:spPr>
      </c:pivotFmt>
      <c:pivotFmt>
        <c:idx val="14"/>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piovet!$B$3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404-494C-812E-B833DF5A0E3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404-494C-812E-B833DF5A0E3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404-494C-812E-B833DF5A0E3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404-494C-812E-B833DF5A0E3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404-494C-812E-B833DF5A0E3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404-494C-812E-B833DF5A0E31}"/>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D404-494C-812E-B833DF5A0E31}"/>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404-494C-812E-B833DF5A0E31}"/>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404-494C-812E-B833DF5A0E31}"/>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404-494C-812E-B833DF5A0E31}"/>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404-494C-812E-B833DF5A0E31}"/>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404-494C-812E-B833DF5A0E31}"/>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D404-494C-812E-B833DF5A0E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piovet!$A$4:$A$16</c:f>
              <c:strCache>
                <c:ptCount val="13"/>
                <c:pt idx="0">
                  <c:v>Allowance</c:v>
                </c:pt>
                <c:pt idx="1">
                  <c:v>Apparel</c:v>
                </c:pt>
                <c:pt idx="2">
                  <c:v>Beauty</c:v>
                </c:pt>
                <c:pt idx="3">
                  <c:v>Education</c:v>
                </c:pt>
                <c:pt idx="4">
                  <c:v>Food</c:v>
                </c:pt>
                <c:pt idx="5">
                  <c:v>Gift</c:v>
                </c:pt>
                <c:pt idx="6">
                  <c:v>Household</c:v>
                </c:pt>
                <c:pt idx="7">
                  <c:v>Other</c:v>
                </c:pt>
                <c:pt idx="8">
                  <c:v>Petty cash</c:v>
                </c:pt>
                <c:pt idx="9">
                  <c:v>Salary</c:v>
                </c:pt>
                <c:pt idx="10">
                  <c:v>Self-development</c:v>
                </c:pt>
                <c:pt idx="11">
                  <c:v>Social Life</c:v>
                </c:pt>
                <c:pt idx="12">
                  <c:v>Transportation</c:v>
                </c:pt>
              </c:strCache>
            </c:strRef>
          </c:cat>
          <c:val>
            <c:numRef>
              <c:f>piovet!$B$4:$B$16</c:f>
              <c:numCache>
                <c:formatCode>General</c:formatCode>
                <c:ptCount val="13"/>
                <c:pt idx="0">
                  <c:v>14000</c:v>
                </c:pt>
                <c:pt idx="1">
                  <c:v>-3388</c:v>
                </c:pt>
                <c:pt idx="2">
                  <c:v>-196</c:v>
                </c:pt>
                <c:pt idx="3">
                  <c:v>-1400</c:v>
                </c:pt>
                <c:pt idx="4">
                  <c:v>-24444.480000000003</c:v>
                </c:pt>
                <c:pt idx="5">
                  <c:v>-115</c:v>
                </c:pt>
                <c:pt idx="6">
                  <c:v>-11885</c:v>
                </c:pt>
                <c:pt idx="7">
                  <c:v>27634</c:v>
                </c:pt>
                <c:pt idx="8">
                  <c:v>3</c:v>
                </c:pt>
                <c:pt idx="9">
                  <c:v>8000</c:v>
                </c:pt>
                <c:pt idx="10">
                  <c:v>-400</c:v>
                </c:pt>
                <c:pt idx="11">
                  <c:v>-813.72</c:v>
                </c:pt>
                <c:pt idx="12">
                  <c:v>-9203.7999999999993</c:v>
                </c:pt>
              </c:numCache>
            </c:numRef>
          </c:val>
          <c:extLst>
            <c:ext xmlns:c16="http://schemas.microsoft.com/office/drawing/2014/chart" uri="{C3380CC4-5D6E-409C-BE32-E72D297353CC}">
              <c16:uniqueId val="{00000000-D404-494C-812E-B833DF5A0E3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[expense_data_project.xlsx]piovet!PivotTable2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piovet!$B$3</c:f>
              <c:strCache>
                <c:ptCount val="1"/>
                <c:pt idx="0">
                  <c:v>Total</c:v>
                </c:pt>
              </c:strCache>
            </c:strRef>
          </c:tx>
          <c:spPr>
            <a:solidFill>
              <a:schemeClr val="accent1"/>
            </a:solidFill>
            <a:ln>
              <a:noFill/>
            </a:ln>
            <a:effectLst/>
          </c:spPr>
          <c:invertIfNegative val="0"/>
          <c:cat>
            <c:strRef>
              <c:f>piovet!$A$4:$A$16</c:f>
              <c:strCache>
                <c:ptCount val="13"/>
                <c:pt idx="0">
                  <c:v>Allowance</c:v>
                </c:pt>
                <c:pt idx="1">
                  <c:v>Apparel</c:v>
                </c:pt>
                <c:pt idx="2">
                  <c:v>Beauty</c:v>
                </c:pt>
                <c:pt idx="3">
                  <c:v>Education</c:v>
                </c:pt>
                <c:pt idx="4">
                  <c:v>Food</c:v>
                </c:pt>
                <c:pt idx="5">
                  <c:v>Gift</c:v>
                </c:pt>
                <c:pt idx="6">
                  <c:v>Household</c:v>
                </c:pt>
                <c:pt idx="7">
                  <c:v>Other</c:v>
                </c:pt>
                <c:pt idx="8">
                  <c:v>Petty cash</c:v>
                </c:pt>
                <c:pt idx="9">
                  <c:v>Salary</c:v>
                </c:pt>
                <c:pt idx="10">
                  <c:v>Self-development</c:v>
                </c:pt>
                <c:pt idx="11">
                  <c:v>Social Life</c:v>
                </c:pt>
                <c:pt idx="12">
                  <c:v>Transportation</c:v>
                </c:pt>
              </c:strCache>
            </c:strRef>
          </c:cat>
          <c:val>
            <c:numRef>
              <c:f>piovet!$B$4:$B$16</c:f>
              <c:numCache>
                <c:formatCode>General</c:formatCode>
                <c:ptCount val="13"/>
                <c:pt idx="0">
                  <c:v>14000</c:v>
                </c:pt>
                <c:pt idx="1">
                  <c:v>-3388</c:v>
                </c:pt>
                <c:pt idx="2">
                  <c:v>-196</c:v>
                </c:pt>
                <c:pt idx="3">
                  <c:v>-1400</c:v>
                </c:pt>
                <c:pt idx="4">
                  <c:v>-24444.480000000003</c:v>
                </c:pt>
                <c:pt idx="5">
                  <c:v>-115</c:v>
                </c:pt>
                <c:pt idx="6">
                  <c:v>-11885</c:v>
                </c:pt>
                <c:pt idx="7">
                  <c:v>27634</c:v>
                </c:pt>
                <c:pt idx="8">
                  <c:v>3</c:v>
                </c:pt>
                <c:pt idx="9">
                  <c:v>8000</c:v>
                </c:pt>
                <c:pt idx="10">
                  <c:v>-400</c:v>
                </c:pt>
                <c:pt idx="11">
                  <c:v>-813.72</c:v>
                </c:pt>
                <c:pt idx="12">
                  <c:v>-9203.7999999999993</c:v>
                </c:pt>
              </c:numCache>
            </c:numRef>
          </c:val>
          <c:extLst>
            <c:ext xmlns:c16="http://schemas.microsoft.com/office/drawing/2014/chart" uri="{C3380CC4-5D6E-409C-BE32-E72D297353CC}">
              <c16:uniqueId val="{00000001-A4CB-45D1-A5F2-3E8E0B0A7E35}"/>
            </c:ext>
          </c:extLst>
        </c:ser>
        <c:dLbls>
          <c:showLegendKey val="0"/>
          <c:showVal val="0"/>
          <c:showCatName val="0"/>
          <c:showSerName val="0"/>
          <c:showPercent val="0"/>
          <c:showBubbleSize val="0"/>
        </c:dLbls>
        <c:gapWidth val="219"/>
        <c:overlap val="-27"/>
        <c:axId val="1007575856"/>
        <c:axId val="1007562416"/>
      </c:barChart>
      <c:catAx>
        <c:axId val="100757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62416"/>
        <c:crosses val="autoZero"/>
        <c:auto val="1"/>
        <c:lblAlgn val="ctr"/>
        <c:lblOffset val="100"/>
        <c:noMultiLvlLbl val="0"/>
      </c:catAx>
      <c:valAx>
        <c:axId val="100756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758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5-4841-8A4A-BE8AD0177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5-4841-8A4A-BE8AD0177724}"/>
              </c:ext>
            </c:extLst>
          </c:dPt>
          <c:cat>
            <c:strRef>
              <c:f>piovet!$A$21:$A$22</c:f>
              <c:strCache>
                <c:ptCount val="2"/>
                <c:pt idx="0">
                  <c:v>expence</c:v>
                </c:pt>
                <c:pt idx="1">
                  <c:v>income</c:v>
                </c:pt>
              </c:strCache>
            </c:strRef>
          </c:cat>
          <c:val>
            <c:numRef>
              <c:f>piovet!$B$21:$B$22</c:f>
              <c:numCache>
                <c:formatCode>General</c:formatCode>
                <c:ptCount val="2"/>
                <c:pt idx="0">
                  <c:v>-51846</c:v>
                </c:pt>
                <c:pt idx="1">
                  <c:v>49637</c:v>
                </c:pt>
              </c:numCache>
            </c:numRef>
          </c:val>
          <c:extLst>
            <c:ext xmlns:c16="http://schemas.microsoft.com/office/drawing/2014/chart" uri="{C3380CC4-5D6E-409C-BE32-E72D297353CC}">
              <c16:uniqueId val="{00000000-1CD7-4114-A5A7-0042E71D81E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[expense_data_project.xlsx]piovet!PivotTable2</c:name>
    <c:fmtId val="27"/>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
        <c:idx val="10"/>
        <c:spPr>
          <a:solidFill>
            <a:schemeClr val="accent4">
              <a:lumMod val="60000"/>
            </a:schemeClr>
          </a:solidFill>
          <a:ln>
            <a:noFill/>
          </a:ln>
          <a:effectLst>
            <a:outerShdw blurRad="63500" sx="102000" sy="102000" algn="ctr" rotWithShape="0">
              <a:prstClr val="black">
                <a:alpha val="20000"/>
              </a:prstClr>
            </a:outerShdw>
          </a:effectLst>
        </c:spPr>
      </c:pivotFmt>
      <c:pivotFmt>
        <c:idx val="11"/>
        <c:spPr>
          <a:solidFill>
            <a:schemeClr val="accent5">
              <a:lumMod val="60000"/>
            </a:schemeClr>
          </a:solidFill>
          <a:ln>
            <a:noFill/>
          </a:ln>
          <a:effectLst>
            <a:outerShdw blurRad="63500" sx="102000" sy="102000" algn="ctr" rotWithShape="0">
              <a:prstClr val="black">
                <a:alpha val="20000"/>
              </a:prstClr>
            </a:outerShdw>
          </a:effectLst>
        </c:spPr>
      </c:pivotFmt>
      <c:pivotFmt>
        <c:idx val="12"/>
        <c:spPr>
          <a:solidFill>
            <a:schemeClr val="accent6">
              <a:lumMod val="60000"/>
            </a:schemeClr>
          </a:solidFill>
          <a:ln>
            <a:noFill/>
          </a:ln>
          <a:effectLst>
            <a:outerShdw blurRad="63500" sx="102000" sy="102000" algn="ctr" rotWithShape="0">
              <a:prstClr val="black">
                <a:alpha val="20000"/>
              </a:prstClr>
            </a:outerShdw>
          </a:effectLst>
        </c:spPr>
      </c:pivotFmt>
      <c:pivotFmt>
        <c:idx val="13"/>
        <c:spPr>
          <a:solidFill>
            <a:schemeClr val="accent1">
              <a:lumMod val="80000"/>
              <a:lumOff val="20000"/>
            </a:schemeClr>
          </a:solidFill>
          <a:ln>
            <a:noFill/>
          </a:ln>
          <a:effectLst>
            <a:outerShdw blurRad="63500" sx="102000" sy="102000" algn="ctr" rotWithShape="0">
              <a:prstClr val="black">
                <a:alpha val="20000"/>
              </a:prstClr>
            </a:outerShdw>
          </a:effectLst>
        </c:spPr>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pivotFmt>
      <c:pivotFmt>
        <c:idx val="16"/>
        <c:spPr>
          <a:solidFill>
            <a:schemeClr val="accent2"/>
          </a:solidFill>
          <a:ln>
            <a:noFill/>
          </a:ln>
          <a:effectLst>
            <a:outerShdw blurRad="63500" sx="102000" sy="102000" algn="ctr" rotWithShape="0">
              <a:prstClr val="black">
                <a:alpha val="20000"/>
              </a:prstClr>
            </a:outerShdw>
          </a:effectLst>
        </c:spPr>
      </c:pivotFmt>
      <c:pivotFmt>
        <c:idx val="17"/>
        <c:spPr>
          <a:solidFill>
            <a:schemeClr val="accent3"/>
          </a:solidFill>
          <a:ln>
            <a:noFill/>
          </a:ln>
          <a:effectLst>
            <a:outerShdw blurRad="63500" sx="102000" sy="102000" algn="ctr" rotWithShape="0">
              <a:prstClr val="black">
                <a:alpha val="20000"/>
              </a:prstClr>
            </a:outerShdw>
          </a:effectLst>
        </c:spPr>
      </c:pivotFmt>
      <c:pivotFmt>
        <c:idx val="18"/>
        <c:spPr>
          <a:solidFill>
            <a:schemeClr val="accent4"/>
          </a:solidFill>
          <a:ln>
            <a:noFill/>
          </a:ln>
          <a:effectLst>
            <a:outerShdw blurRad="63500" sx="102000" sy="102000" algn="ctr" rotWithShape="0">
              <a:prstClr val="black">
                <a:alpha val="20000"/>
              </a:prstClr>
            </a:outerShdw>
          </a:effectLst>
        </c:spPr>
      </c:pivotFmt>
      <c:pivotFmt>
        <c:idx val="19"/>
        <c:spPr>
          <a:solidFill>
            <a:schemeClr val="accent5"/>
          </a:solidFill>
          <a:ln>
            <a:noFill/>
          </a:ln>
          <a:effectLst>
            <a:outerShdw blurRad="63500" sx="102000" sy="102000" algn="ctr" rotWithShape="0">
              <a:prstClr val="black">
                <a:alpha val="20000"/>
              </a:prstClr>
            </a:outerShdw>
          </a:effectLst>
        </c:spPr>
      </c:pivotFmt>
      <c:pivotFmt>
        <c:idx val="20"/>
        <c:spPr>
          <a:solidFill>
            <a:schemeClr val="accent6"/>
          </a:solidFill>
          <a:ln>
            <a:noFill/>
          </a:ln>
          <a:effectLst>
            <a:outerShdw blurRad="63500" sx="102000" sy="102000" algn="ctr" rotWithShape="0">
              <a:prstClr val="black">
                <a:alpha val="20000"/>
              </a:prstClr>
            </a:outerShdw>
          </a:effectLst>
        </c:spPr>
      </c:pivotFmt>
      <c:pivotFmt>
        <c:idx val="21"/>
        <c:spPr>
          <a:solidFill>
            <a:schemeClr val="accent1">
              <a:lumMod val="60000"/>
            </a:schemeClr>
          </a:solidFill>
          <a:ln>
            <a:noFill/>
          </a:ln>
          <a:effectLst>
            <a:outerShdw blurRad="63500" sx="102000" sy="102000" algn="ctr" rotWithShape="0">
              <a:prstClr val="black">
                <a:alpha val="20000"/>
              </a:prstClr>
            </a:outerShdw>
          </a:effectLst>
        </c:spPr>
      </c:pivotFmt>
      <c:pivotFmt>
        <c:idx val="22"/>
        <c:spPr>
          <a:solidFill>
            <a:schemeClr val="accent2">
              <a:lumMod val="60000"/>
            </a:schemeClr>
          </a:solidFill>
          <a:ln>
            <a:noFill/>
          </a:ln>
          <a:effectLst>
            <a:outerShdw blurRad="63500" sx="102000" sy="102000" algn="ctr" rotWithShape="0">
              <a:prstClr val="black">
                <a:alpha val="20000"/>
              </a:prstClr>
            </a:outerShdw>
          </a:effectLst>
        </c:spPr>
      </c:pivotFmt>
      <c:pivotFmt>
        <c:idx val="23"/>
        <c:spPr>
          <a:solidFill>
            <a:schemeClr val="accent3">
              <a:lumMod val="60000"/>
            </a:schemeClr>
          </a:solidFill>
          <a:ln>
            <a:noFill/>
          </a:ln>
          <a:effectLst>
            <a:outerShdw blurRad="63500" sx="102000" sy="102000" algn="ctr" rotWithShape="0">
              <a:prstClr val="black">
                <a:alpha val="20000"/>
              </a:prstClr>
            </a:outerShdw>
          </a:effectLst>
        </c:spPr>
      </c:pivotFmt>
      <c:pivotFmt>
        <c:idx val="24"/>
        <c:spPr>
          <a:solidFill>
            <a:schemeClr val="accent4">
              <a:lumMod val="60000"/>
            </a:schemeClr>
          </a:solidFill>
          <a:ln>
            <a:noFill/>
          </a:ln>
          <a:effectLst>
            <a:outerShdw blurRad="63500" sx="102000" sy="102000" algn="ctr" rotWithShape="0">
              <a:prstClr val="black">
                <a:alpha val="20000"/>
              </a:prstClr>
            </a:outerShdw>
          </a:effectLst>
        </c:spPr>
      </c:pivotFmt>
      <c:pivotFmt>
        <c:idx val="25"/>
        <c:spPr>
          <a:solidFill>
            <a:schemeClr val="accent5">
              <a:lumMod val="60000"/>
            </a:schemeClr>
          </a:solidFill>
          <a:ln>
            <a:noFill/>
          </a:ln>
          <a:effectLst>
            <a:outerShdw blurRad="63500" sx="102000" sy="102000" algn="ctr" rotWithShape="0">
              <a:prstClr val="black">
                <a:alpha val="20000"/>
              </a:prstClr>
            </a:outerShdw>
          </a:effectLst>
        </c:spPr>
      </c:pivotFmt>
      <c:pivotFmt>
        <c:idx val="26"/>
        <c:spPr>
          <a:solidFill>
            <a:schemeClr val="accent6">
              <a:lumMod val="60000"/>
            </a:schemeClr>
          </a:solidFill>
          <a:ln>
            <a:noFill/>
          </a:ln>
          <a:effectLst>
            <a:outerShdw blurRad="63500" sx="102000" sy="102000" algn="ctr" rotWithShape="0">
              <a:prstClr val="black">
                <a:alpha val="20000"/>
              </a:prstClr>
            </a:outerShdw>
          </a:effectLst>
        </c:spPr>
      </c:pivotFmt>
      <c:pivotFmt>
        <c:idx val="27"/>
        <c:spPr>
          <a:solidFill>
            <a:schemeClr val="accent1">
              <a:lumMod val="80000"/>
              <a:lumOff val="20000"/>
            </a:schemeClr>
          </a:solidFill>
          <a:ln>
            <a:noFill/>
          </a:ln>
          <a:effectLst>
            <a:outerShdw blurRad="63500" sx="102000" sy="102000" algn="ctr" rotWithShape="0">
              <a:prstClr val="black">
                <a:alpha val="20000"/>
              </a:prstClr>
            </a:outerShdw>
          </a:effectLst>
        </c:spPr>
      </c:pivotFmt>
      <c:pivotFmt>
        <c:idx val="28"/>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D5FFEC"/>
          </a:solidFill>
          <a:ln>
            <a:noFill/>
          </a:ln>
          <a:effectLst>
            <a:outerShdw blurRad="63500" sx="102000" sy="102000" algn="ctr" rotWithShape="0">
              <a:prstClr val="black">
                <a:alpha val="20000"/>
              </a:prstClr>
            </a:outerShdw>
          </a:effectLst>
        </c:spPr>
      </c:pivotFmt>
      <c:pivotFmt>
        <c:idx val="30"/>
        <c:spPr>
          <a:solidFill>
            <a:srgbClr val="88E0D3"/>
          </a:solidFill>
          <a:ln>
            <a:noFill/>
          </a:ln>
          <a:effectLst>
            <a:outerShdw blurRad="63500" sx="102000" sy="102000" algn="ctr" rotWithShape="0">
              <a:prstClr val="black">
                <a:alpha val="20000"/>
              </a:prstClr>
            </a:outerShdw>
          </a:effectLst>
        </c:spPr>
      </c:pivotFmt>
      <c:pivotFmt>
        <c:idx val="31"/>
        <c:spPr>
          <a:solidFill>
            <a:srgbClr val="BCCBBC"/>
          </a:solidFill>
          <a:ln>
            <a:noFill/>
          </a:ln>
          <a:effectLst>
            <a:outerShdw blurRad="63500" sx="102000" sy="102000" algn="ctr" rotWithShape="0">
              <a:prstClr val="black">
                <a:alpha val="20000"/>
              </a:prstClr>
            </a:outerShdw>
          </a:effectLst>
        </c:spPr>
      </c:pivotFmt>
      <c:pivotFmt>
        <c:idx val="32"/>
        <c:spPr>
          <a:solidFill>
            <a:srgbClr val="B9E1CB"/>
          </a:solidFill>
          <a:ln>
            <a:noFill/>
          </a:ln>
          <a:effectLst>
            <a:outerShdw blurRad="63500" sx="102000" sy="102000" algn="ctr" rotWithShape="0">
              <a:prstClr val="black">
                <a:alpha val="20000"/>
              </a:prstClr>
            </a:outerShdw>
          </a:effectLst>
        </c:spPr>
      </c:pivotFmt>
      <c:pivotFmt>
        <c:idx val="33"/>
        <c:spPr>
          <a:solidFill>
            <a:srgbClr val="FFC065"/>
          </a:solidFill>
          <a:ln>
            <a:noFill/>
          </a:ln>
          <a:effectLst>
            <a:outerShdw blurRad="63500" sx="102000" sy="102000" algn="ctr" rotWithShape="0">
              <a:prstClr val="black">
                <a:alpha val="20000"/>
              </a:prstClr>
            </a:outerShdw>
          </a:effectLst>
        </c:spPr>
      </c:pivotFmt>
      <c:pivotFmt>
        <c:idx val="34"/>
        <c:spPr>
          <a:solidFill>
            <a:schemeClr val="accent6"/>
          </a:solidFill>
          <a:ln>
            <a:noFill/>
          </a:ln>
          <a:effectLst>
            <a:outerShdw blurRad="63500" sx="102000" sy="102000" algn="ctr" rotWithShape="0">
              <a:prstClr val="black">
                <a:alpha val="20000"/>
              </a:prstClr>
            </a:outerShdw>
          </a:effectLst>
        </c:spPr>
      </c:pivotFmt>
      <c:pivotFmt>
        <c:idx val="35"/>
        <c:spPr>
          <a:solidFill>
            <a:srgbClr val="EDF7BE"/>
          </a:solidFill>
          <a:ln>
            <a:noFill/>
          </a:ln>
          <a:effectLst>
            <a:outerShdw blurRad="63500" sx="102000" sy="102000" algn="ctr" rotWithShape="0">
              <a:prstClr val="black">
                <a:alpha val="20000"/>
              </a:prstClr>
            </a:outerShdw>
          </a:effectLst>
        </c:spPr>
      </c:pivotFmt>
      <c:pivotFmt>
        <c:idx val="36"/>
        <c:spPr>
          <a:solidFill>
            <a:srgbClr val="E0FFC2"/>
          </a:solidFill>
          <a:ln>
            <a:noFill/>
          </a:ln>
          <a:effectLst>
            <a:outerShdw blurRad="63500" sx="102000" sy="102000" algn="ctr" rotWithShape="0">
              <a:prstClr val="black">
                <a:alpha val="20000"/>
              </a:prstClr>
            </a:outerShdw>
          </a:effectLst>
        </c:spPr>
      </c:pivotFmt>
      <c:pivotFmt>
        <c:idx val="37"/>
        <c:spPr>
          <a:solidFill>
            <a:schemeClr val="accent3">
              <a:lumMod val="60000"/>
            </a:schemeClr>
          </a:solidFill>
          <a:ln>
            <a:noFill/>
          </a:ln>
          <a:effectLst>
            <a:outerShdw blurRad="63500" sx="102000" sy="102000" algn="ctr" rotWithShape="0">
              <a:prstClr val="black">
                <a:alpha val="20000"/>
              </a:prstClr>
            </a:outerShdw>
          </a:effectLst>
        </c:spPr>
      </c:pivotFmt>
      <c:pivotFmt>
        <c:idx val="38"/>
        <c:spPr>
          <a:solidFill>
            <a:schemeClr val="accent6">
              <a:lumMod val="40000"/>
              <a:lumOff val="60000"/>
            </a:schemeClr>
          </a:solidFill>
          <a:ln>
            <a:noFill/>
          </a:ln>
          <a:effectLst>
            <a:outerShdw blurRad="63500" sx="102000" sy="102000" algn="ctr" rotWithShape="0">
              <a:prstClr val="black">
                <a:alpha val="20000"/>
              </a:prstClr>
            </a:outerShdw>
          </a:effectLst>
        </c:spPr>
      </c:pivotFmt>
      <c:pivotFmt>
        <c:idx val="39"/>
        <c:spPr>
          <a:solidFill>
            <a:srgbClr val="0E0E0B"/>
          </a:solidFill>
          <a:ln>
            <a:noFill/>
          </a:ln>
          <a:effectLst>
            <a:outerShdw blurRad="63500" sx="102000" sy="102000" algn="ctr" rotWithShape="0">
              <a:prstClr val="black">
                <a:alpha val="20000"/>
              </a:prstClr>
            </a:outerShdw>
          </a:effectLst>
        </c:spPr>
      </c:pivotFmt>
      <c:pivotFmt>
        <c:idx val="40"/>
        <c:spPr>
          <a:solidFill>
            <a:srgbClr val="AFE607"/>
          </a:solidFill>
          <a:ln>
            <a:noFill/>
          </a:ln>
          <a:effectLst>
            <a:outerShdw blurRad="63500" sx="102000" sy="102000" algn="ctr" rotWithShape="0">
              <a:prstClr val="black">
                <a:alpha val="20000"/>
              </a:prstClr>
            </a:outerShdw>
          </a:effectLst>
        </c:spPr>
      </c:pivotFmt>
      <c:pivotFmt>
        <c:idx val="41"/>
        <c:spPr>
          <a:solidFill>
            <a:srgbClr val="064734"/>
          </a:solidFill>
          <a:ln>
            <a:noFill/>
          </a:ln>
          <a:effectLst>
            <a:outerShdw blurRad="63500" sx="102000" sy="102000" algn="ctr" rotWithShape="0">
              <a:prstClr val="black">
                <a:alpha val="20000"/>
              </a:prstClr>
            </a:outerShdw>
          </a:effectLst>
        </c:spPr>
      </c:pivotFmt>
      <c:pivotFmt>
        <c:idx val="42"/>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pivotFmt>
    </c:pivotFmts>
    <c:plotArea>
      <c:layout/>
      <c:pieChart>
        <c:varyColors val="1"/>
        <c:ser>
          <c:idx val="0"/>
          <c:order val="0"/>
          <c:tx>
            <c:strRef>
              <c:f>piovet!$B$3</c:f>
              <c:strCache>
                <c:ptCount val="1"/>
                <c:pt idx="0">
                  <c:v>Total</c:v>
                </c:pt>
              </c:strCache>
            </c:strRef>
          </c:tx>
          <c:dPt>
            <c:idx val="0"/>
            <c:bubble3D val="0"/>
            <c:spPr>
              <a:solidFill>
                <a:srgbClr val="D5FFEC"/>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36-4CE5-B1B3-822711B9AB21}"/>
              </c:ext>
            </c:extLst>
          </c:dPt>
          <c:dPt>
            <c:idx val="1"/>
            <c:bubble3D val="0"/>
            <c:spPr>
              <a:solidFill>
                <a:srgbClr val="88E0D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36-4CE5-B1B3-822711B9AB21}"/>
              </c:ext>
            </c:extLst>
          </c:dPt>
          <c:dPt>
            <c:idx val="2"/>
            <c:bubble3D val="0"/>
            <c:spPr>
              <a:solidFill>
                <a:srgbClr val="BCCBBC"/>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36-4CE5-B1B3-822711B9AB21}"/>
              </c:ext>
            </c:extLst>
          </c:dPt>
          <c:dPt>
            <c:idx val="3"/>
            <c:bubble3D val="0"/>
            <c:spPr>
              <a:solidFill>
                <a:srgbClr val="B9E1CB"/>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36-4CE5-B1B3-822711B9AB21}"/>
              </c:ext>
            </c:extLst>
          </c:dPt>
          <c:dPt>
            <c:idx val="4"/>
            <c:bubble3D val="0"/>
            <c:spPr>
              <a:solidFill>
                <a:srgbClr val="FFC06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136-4CE5-B1B3-822711B9AB2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136-4CE5-B1B3-822711B9AB21}"/>
              </c:ext>
            </c:extLst>
          </c:dPt>
          <c:dPt>
            <c:idx val="6"/>
            <c:bubble3D val="0"/>
            <c:spPr>
              <a:solidFill>
                <a:srgbClr val="EDF7BE"/>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136-4CE5-B1B3-822711B9AB21}"/>
              </c:ext>
            </c:extLst>
          </c:dPt>
          <c:dPt>
            <c:idx val="7"/>
            <c:bubble3D val="0"/>
            <c:spPr>
              <a:solidFill>
                <a:srgbClr val="E0FFC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136-4CE5-B1B3-822711B9AB21}"/>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136-4CE5-B1B3-822711B9AB21}"/>
              </c:ext>
            </c:extLst>
          </c:dPt>
          <c:dPt>
            <c:idx val="9"/>
            <c:bubble3D val="0"/>
            <c:spPr>
              <a:solidFill>
                <a:schemeClr val="accent6">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7136-4CE5-B1B3-822711B9AB21}"/>
              </c:ext>
            </c:extLst>
          </c:dPt>
          <c:dPt>
            <c:idx val="10"/>
            <c:bubble3D val="0"/>
            <c:spPr>
              <a:solidFill>
                <a:srgbClr val="0E0E0B"/>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7136-4CE5-B1B3-822711B9AB21}"/>
              </c:ext>
            </c:extLst>
          </c:dPt>
          <c:dPt>
            <c:idx val="11"/>
            <c:bubble3D val="0"/>
            <c:spPr>
              <a:solidFill>
                <a:srgbClr val="AFE607"/>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7136-4CE5-B1B3-822711B9AB21}"/>
              </c:ext>
            </c:extLst>
          </c:dPt>
          <c:dPt>
            <c:idx val="12"/>
            <c:bubble3D val="0"/>
            <c:spPr>
              <a:solidFill>
                <a:srgbClr val="06473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7136-4CE5-B1B3-822711B9AB21}"/>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piovet!$A$4:$A$16</c:f>
              <c:strCache>
                <c:ptCount val="13"/>
                <c:pt idx="0">
                  <c:v>Allowance</c:v>
                </c:pt>
                <c:pt idx="1">
                  <c:v>Apparel</c:v>
                </c:pt>
                <c:pt idx="2">
                  <c:v>Beauty</c:v>
                </c:pt>
                <c:pt idx="3">
                  <c:v>Education</c:v>
                </c:pt>
                <c:pt idx="4">
                  <c:v>Food</c:v>
                </c:pt>
                <c:pt idx="5">
                  <c:v>Gift</c:v>
                </c:pt>
                <c:pt idx="6">
                  <c:v>Household</c:v>
                </c:pt>
                <c:pt idx="7">
                  <c:v>Other</c:v>
                </c:pt>
                <c:pt idx="8">
                  <c:v>Petty cash</c:v>
                </c:pt>
                <c:pt idx="9">
                  <c:v>Salary</c:v>
                </c:pt>
                <c:pt idx="10">
                  <c:v>Self-development</c:v>
                </c:pt>
                <c:pt idx="11">
                  <c:v>Social Life</c:v>
                </c:pt>
                <c:pt idx="12">
                  <c:v>Transportation</c:v>
                </c:pt>
              </c:strCache>
            </c:strRef>
          </c:cat>
          <c:val>
            <c:numRef>
              <c:f>piovet!$B$4:$B$16</c:f>
              <c:numCache>
                <c:formatCode>General</c:formatCode>
                <c:ptCount val="13"/>
                <c:pt idx="0">
                  <c:v>14000</c:v>
                </c:pt>
                <c:pt idx="1">
                  <c:v>-3388</c:v>
                </c:pt>
                <c:pt idx="2">
                  <c:v>-196</c:v>
                </c:pt>
                <c:pt idx="3">
                  <c:v>-1400</c:v>
                </c:pt>
                <c:pt idx="4">
                  <c:v>-24444.480000000003</c:v>
                </c:pt>
                <c:pt idx="5">
                  <c:v>-115</c:v>
                </c:pt>
                <c:pt idx="6">
                  <c:v>-11885</c:v>
                </c:pt>
                <c:pt idx="7">
                  <c:v>27634</c:v>
                </c:pt>
                <c:pt idx="8">
                  <c:v>3</c:v>
                </c:pt>
                <c:pt idx="9">
                  <c:v>8000</c:v>
                </c:pt>
                <c:pt idx="10">
                  <c:v>-400</c:v>
                </c:pt>
                <c:pt idx="11">
                  <c:v>-813.72</c:v>
                </c:pt>
                <c:pt idx="12">
                  <c:v>-9203.7999999999993</c:v>
                </c:pt>
              </c:numCache>
            </c:numRef>
          </c:val>
          <c:extLst>
            <c:ext xmlns:c16="http://schemas.microsoft.com/office/drawing/2014/chart" uri="{C3380CC4-5D6E-409C-BE32-E72D297353CC}">
              <c16:uniqueId val="{0000001C-9B99-4286-A27D-73CF2C033D8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[expense_data_project.xlsx]piovet!PivotTable2</c:name>
    <c:fmtId val="36"/>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5FFEC"/>
          </a:solidFill>
          <a:ln>
            <a:noFill/>
          </a:ln>
          <a:effectLst/>
        </c:spPr>
      </c:pivotFmt>
      <c:pivotFmt>
        <c:idx val="7"/>
        <c:spPr>
          <a:solidFill>
            <a:srgbClr val="88E0D3"/>
          </a:solidFill>
          <a:ln>
            <a:noFill/>
          </a:ln>
          <a:effectLst/>
        </c:spPr>
      </c:pivotFmt>
      <c:pivotFmt>
        <c:idx val="8"/>
        <c:spPr>
          <a:solidFill>
            <a:srgbClr val="B9E1CB"/>
          </a:solidFill>
          <a:ln>
            <a:noFill/>
          </a:ln>
          <a:effectLst/>
        </c:spPr>
      </c:pivotFmt>
      <c:pivotFmt>
        <c:idx val="9"/>
        <c:spPr>
          <a:solidFill>
            <a:srgbClr val="FFC065"/>
          </a:solidFill>
          <a:ln>
            <a:noFill/>
          </a:ln>
          <a:effectLst/>
        </c:spPr>
      </c:pivotFmt>
      <c:pivotFmt>
        <c:idx val="10"/>
        <c:spPr>
          <a:solidFill>
            <a:srgbClr val="BCCBBC"/>
          </a:solidFill>
          <a:ln>
            <a:noFill/>
          </a:ln>
          <a:effectLst/>
        </c:spPr>
      </c:pivotFmt>
      <c:pivotFmt>
        <c:idx val="11"/>
        <c:spPr>
          <a:solidFill>
            <a:srgbClr val="EDF7BE"/>
          </a:solidFill>
          <a:ln>
            <a:noFill/>
          </a:ln>
          <a:effectLst/>
        </c:spPr>
      </c:pivotFmt>
      <c:pivotFmt>
        <c:idx val="12"/>
        <c:spPr>
          <a:solidFill>
            <a:srgbClr val="EDF7BE"/>
          </a:solidFill>
          <a:ln>
            <a:noFill/>
          </a:ln>
          <a:effectLst/>
        </c:spPr>
      </c:pivotFmt>
      <c:pivotFmt>
        <c:idx val="13"/>
        <c:spPr>
          <a:solidFill>
            <a:srgbClr val="E0FFC2"/>
          </a:solidFill>
          <a:ln>
            <a:noFill/>
          </a:ln>
          <a:effectLst/>
        </c:spPr>
      </c:pivotFmt>
      <c:pivotFmt>
        <c:idx val="14"/>
        <c:spPr>
          <a:solidFill>
            <a:srgbClr val="B4E5A2"/>
          </a:solidFill>
          <a:ln>
            <a:noFill/>
          </a:ln>
          <a:effectLst/>
        </c:spPr>
      </c:pivotFmt>
      <c:pivotFmt>
        <c:idx val="15"/>
        <c:spPr>
          <a:solidFill>
            <a:srgbClr val="0E0E0B"/>
          </a:solidFill>
          <a:ln>
            <a:noFill/>
          </a:ln>
          <a:effectLst/>
        </c:spPr>
      </c:pivotFmt>
      <c:pivotFmt>
        <c:idx val="16"/>
        <c:spPr>
          <a:solidFill>
            <a:srgbClr val="064734"/>
          </a:solidFill>
          <a:ln>
            <a:noFill/>
          </a:ln>
          <a:effectLst/>
        </c:spPr>
      </c:pivotFmt>
      <c:pivotFmt>
        <c:idx val="17"/>
        <c:spPr>
          <a:solidFill>
            <a:srgbClr val="AFE607"/>
          </a:solidFill>
          <a:ln>
            <a:noFill/>
          </a:ln>
          <a:effectLst/>
        </c:spPr>
      </c:pivotFmt>
      <c:pivotFmt>
        <c:idx val="18"/>
        <c:marker>
          <c:symbol val="none"/>
        </c:marker>
        <c:dLbl>
          <c:idx val="0"/>
          <c:delete val="1"/>
          <c:extLst>
            <c:ext xmlns:c15="http://schemas.microsoft.com/office/drawing/2012/chart" uri="{CE6537A1-D6FC-4f65-9D91-7224C49458BB}"/>
          </c:extLst>
        </c:dLbl>
      </c:pivotFmt>
      <c:pivotFmt>
        <c:idx val="19"/>
        <c:marker>
          <c:symbol val="none"/>
        </c:marker>
      </c:pivotFmt>
    </c:pivotFmts>
    <c:plotArea>
      <c:layout>
        <c:manualLayout>
          <c:layoutTarget val="inner"/>
          <c:xMode val="edge"/>
          <c:yMode val="edge"/>
          <c:x val="8.4463922785728784E-2"/>
          <c:y val="2.0498999514818317E-2"/>
          <c:w val="0.93239254474741395"/>
          <c:h val="0.84497092461220424"/>
        </c:manualLayout>
      </c:layout>
      <c:barChart>
        <c:barDir val="col"/>
        <c:grouping val="clustered"/>
        <c:varyColors val="0"/>
        <c:ser>
          <c:idx val="0"/>
          <c:order val="0"/>
          <c:tx>
            <c:strRef>
              <c:f>piovet!$B$3</c:f>
              <c:strCache>
                <c:ptCount val="1"/>
                <c:pt idx="0">
                  <c:v>Total</c:v>
                </c:pt>
              </c:strCache>
            </c:strRef>
          </c:tx>
          <c:spPr>
            <a:solidFill>
              <a:schemeClr val="accent1"/>
            </a:solidFill>
            <a:ln>
              <a:noFill/>
            </a:ln>
            <a:effectLst/>
          </c:spPr>
          <c:invertIfNegative val="0"/>
          <c:dPt>
            <c:idx val="0"/>
            <c:invertIfNegative val="0"/>
            <c:bubble3D val="0"/>
            <c:spPr>
              <a:solidFill>
                <a:srgbClr val="D5FFEC"/>
              </a:solidFill>
              <a:ln>
                <a:noFill/>
              </a:ln>
              <a:effectLst/>
            </c:spPr>
            <c:extLst>
              <c:ext xmlns:c16="http://schemas.microsoft.com/office/drawing/2014/chart" uri="{C3380CC4-5D6E-409C-BE32-E72D297353CC}">
                <c16:uniqueId val="{00000001-7C26-4C2A-8F56-55AD3948C42D}"/>
              </c:ext>
            </c:extLst>
          </c:dPt>
          <c:dPt>
            <c:idx val="1"/>
            <c:invertIfNegative val="0"/>
            <c:bubble3D val="0"/>
            <c:spPr>
              <a:solidFill>
                <a:srgbClr val="88E0D3"/>
              </a:solidFill>
              <a:ln>
                <a:noFill/>
              </a:ln>
              <a:effectLst/>
            </c:spPr>
            <c:extLst>
              <c:ext xmlns:c16="http://schemas.microsoft.com/office/drawing/2014/chart" uri="{C3380CC4-5D6E-409C-BE32-E72D297353CC}">
                <c16:uniqueId val="{00000002-7C26-4C2A-8F56-55AD3948C42D}"/>
              </c:ext>
            </c:extLst>
          </c:dPt>
          <c:dPt>
            <c:idx val="2"/>
            <c:invertIfNegative val="0"/>
            <c:bubble3D val="0"/>
            <c:spPr>
              <a:solidFill>
                <a:srgbClr val="BCCBBC"/>
              </a:solidFill>
              <a:ln>
                <a:noFill/>
              </a:ln>
              <a:effectLst/>
            </c:spPr>
            <c:extLst>
              <c:ext xmlns:c16="http://schemas.microsoft.com/office/drawing/2014/chart" uri="{C3380CC4-5D6E-409C-BE32-E72D297353CC}">
                <c16:uniqueId val="{00000009-7FF4-4D47-980D-7A3107697D56}"/>
              </c:ext>
            </c:extLst>
          </c:dPt>
          <c:dPt>
            <c:idx val="3"/>
            <c:invertIfNegative val="0"/>
            <c:bubble3D val="0"/>
            <c:spPr>
              <a:solidFill>
                <a:srgbClr val="B9E1CB"/>
              </a:solidFill>
              <a:ln>
                <a:noFill/>
              </a:ln>
              <a:effectLst/>
            </c:spPr>
            <c:extLst>
              <c:ext xmlns:c16="http://schemas.microsoft.com/office/drawing/2014/chart" uri="{C3380CC4-5D6E-409C-BE32-E72D297353CC}">
                <c16:uniqueId val="{00000004-2FB3-452A-ABDC-BA537238C495}"/>
              </c:ext>
            </c:extLst>
          </c:dPt>
          <c:dPt>
            <c:idx val="4"/>
            <c:invertIfNegative val="0"/>
            <c:bubble3D val="0"/>
            <c:spPr>
              <a:solidFill>
                <a:srgbClr val="FFC065"/>
              </a:solidFill>
              <a:ln>
                <a:noFill/>
              </a:ln>
              <a:effectLst/>
            </c:spPr>
            <c:extLst>
              <c:ext xmlns:c16="http://schemas.microsoft.com/office/drawing/2014/chart" uri="{C3380CC4-5D6E-409C-BE32-E72D297353CC}">
                <c16:uniqueId val="{00000005-2FB3-452A-ABDC-BA537238C495}"/>
              </c:ext>
            </c:extLst>
          </c:dPt>
          <c:dPt>
            <c:idx val="5"/>
            <c:invertIfNegative val="0"/>
            <c:bubble3D val="0"/>
            <c:spPr>
              <a:solidFill>
                <a:srgbClr val="EDF7BE"/>
              </a:solidFill>
              <a:ln>
                <a:noFill/>
              </a:ln>
              <a:effectLst/>
            </c:spPr>
            <c:extLst>
              <c:ext xmlns:c16="http://schemas.microsoft.com/office/drawing/2014/chart" uri="{C3380CC4-5D6E-409C-BE32-E72D297353CC}">
                <c16:uniqueId val="{0000000A-7FF4-4D47-980D-7A3107697D56}"/>
              </c:ext>
            </c:extLst>
          </c:dPt>
          <c:dPt>
            <c:idx val="6"/>
            <c:invertIfNegative val="0"/>
            <c:bubble3D val="0"/>
            <c:spPr>
              <a:solidFill>
                <a:srgbClr val="EDF7BE"/>
              </a:solidFill>
              <a:ln>
                <a:noFill/>
              </a:ln>
              <a:effectLst/>
            </c:spPr>
            <c:extLst>
              <c:ext xmlns:c16="http://schemas.microsoft.com/office/drawing/2014/chart" uri="{C3380CC4-5D6E-409C-BE32-E72D297353CC}">
                <c16:uniqueId val="{0000000B-7FF4-4D47-980D-7A3107697D56}"/>
              </c:ext>
            </c:extLst>
          </c:dPt>
          <c:dPt>
            <c:idx val="7"/>
            <c:invertIfNegative val="0"/>
            <c:bubble3D val="0"/>
            <c:spPr>
              <a:solidFill>
                <a:srgbClr val="E0FFC2"/>
              </a:solidFill>
              <a:ln>
                <a:noFill/>
              </a:ln>
              <a:effectLst/>
            </c:spPr>
            <c:extLst>
              <c:ext xmlns:c16="http://schemas.microsoft.com/office/drawing/2014/chart" uri="{C3380CC4-5D6E-409C-BE32-E72D297353CC}">
                <c16:uniqueId val="{0000000C-7FF4-4D47-980D-7A3107697D56}"/>
              </c:ext>
            </c:extLst>
          </c:dPt>
          <c:dPt>
            <c:idx val="9"/>
            <c:invertIfNegative val="0"/>
            <c:bubble3D val="0"/>
            <c:spPr>
              <a:solidFill>
                <a:srgbClr val="B4E5A2"/>
              </a:solidFill>
              <a:ln>
                <a:noFill/>
              </a:ln>
              <a:effectLst/>
            </c:spPr>
            <c:extLst>
              <c:ext xmlns:c16="http://schemas.microsoft.com/office/drawing/2014/chart" uri="{C3380CC4-5D6E-409C-BE32-E72D297353CC}">
                <c16:uniqueId val="{0000000D-7FF4-4D47-980D-7A3107697D56}"/>
              </c:ext>
            </c:extLst>
          </c:dPt>
          <c:dPt>
            <c:idx val="10"/>
            <c:invertIfNegative val="0"/>
            <c:bubble3D val="0"/>
            <c:spPr>
              <a:solidFill>
                <a:srgbClr val="0E0E0B"/>
              </a:solidFill>
              <a:ln>
                <a:noFill/>
              </a:ln>
              <a:effectLst/>
            </c:spPr>
            <c:extLst>
              <c:ext xmlns:c16="http://schemas.microsoft.com/office/drawing/2014/chart" uri="{C3380CC4-5D6E-409C-BE32-E72D297353CC}">
                <c16:uniqueId val="{00000046-7FF4-4D47-980D-7A3107697D56}"/>
              </c:ext>
            </c:extLst>
          </c:dPt>
          <c:dPt>
            <c:idx val="11"/>
            <c:invertIfNegative val="0"/>
            <c:bubble3D val="0"/>
            <c:spPr>
              <a:solidFill>
                <a:srgbClr val="AFE607"/>
              </a:solidFill>
              <a:ln>
                <a:noFill/>
              </a:ln>
              <a:effectLst/>
            </c:spPr>
            <c:extLst>
              <c:ext xmlns:c16="http://schemas.microsoft.com/office/drawing/2014/chart" uri="{C3380CC4-5D6E-409C-BE32-E72D297353CC}">
                <c16:uniqueId val="{00000048-7FF4-4D47-980D-7A3107697D56}"/>
              </c:ext>
            </c:extLst>
          </c:dPt>
          <c:dPt>
            <c:idx val="12"/>
            <c:invertIfNegative val="0"/>
            <c:bubble3D val="0"/>
            <c:spPr>
              <a:solidFill>
                <a:srgbClr val="064734"/>
              </a:solidFill>
              <a:ln>
                <a:noFill/>
              </a:ln>
              <a:effectLst/>
            </c:spPr>
            <c:extLst>
              <c:ext xmlns:c16="http://schemas.microsoft.com/office/drawing/2014/chart" uri="{C3380CC4-5D6E-409C-BE32-E72D297353CC}">
                <c16:uniqueId val="{00000047-7FF4-4D47-980D-7A3107697D56}"/>
              </c:ext>
            </c:extLst>
          </c:dPt>
          <c:cat>
            <c:strRef>
              <c:f>piovet!$A$4:$A$16</c:f>
              <c:strCache>
                <c:ptCount val="13"/>
                <c:pt idx="0">
                  <c:v>Allowance</c:v>
                </c:pt>
                <c:pt idx="1">
                  <c:v>Apparel</c:v>
                </c:pt>
                <c:pt idx="2">
                  <c:v>Beauty</c:v>
                </c:pt>
                <c:pt idx="3">
                  <c:v>Education</c:v>
                </c:pt>
                <c:pt idx="4">
                  <c:v>Food</c:v>
                </c:pt>
                <c:pt idx="5">
                  <c:v>Gift</c:v>
                </c:pt>
                <c:pt idx="6">
                  <c:v>Household</c:v>
                </c:pt>
                <c:pt idx="7">
                  <c:v>Other</c:v>
                </c:pt>
                <c:pt idx="8">
                  <c:v>Petty cash</c:v>
                </c:pt>
                <c:pt idx="9">
                  <c:v>Salary</c:v>
                </c:pt>
                <c:pt idx="10">
                  <c:v>Self-development</c:v>
                </c:pt>
                <c:pt idx="11">
                  <c:v>Social Life</c:v>
                </c:pt>
                <c:pt idx="12">
                  <c:v>Transportation</c:v>
                </c:pt>
              </c:strCache>
            </c:strRef>
          </c:cat>
          <c:val>
            <c:numRef>
              <c:f>piovet!$B$4:$B$16</c:f>
              <c:numCache>
                <c:formatCode>General</c:formatCode>
                <c:ptCount val="13"/>
                <c:pt idx="0">
                  <c:v>14000</c:v>
                </c:pt>
                <c:pt idx="1">
                  <c:v>-3388</c:v>
                </c:pt>
                <c:pt idx="2">
                  <c:v>-196</c:v>
                </c:pt>
                <c:pt idx="3">
                  <c:v>-1400</c:v>
                </c:pt>
                <c:pt idx="4">
                  <c:v>-24444.480000000003</c:v>
                </c:pt>
                <c:pt idx="5">
                  <c:v>-115</c:v>
                </c:pt>
                <c:pt idx="6">
                  <c:v>-11885</c:v>
                </c:pt>
                <c:pt idx="7">
                  <c:v>27634</c:v>
                </c:pt>
                <c:pt idx="8">
                  <c:v>3</c:v>
                </c:pt>
                <c:pt idx="9">
                  <c:v>8000</c:v>
                </c:pt>
                <c:pt idx="10">
                  <c:v>-400</c:v>
                </c:pt>
                <c:pt idx="11">
                  <c:v>-813.72</c:v>
                </c:pt>
                <c:pt idx="12">
                  <c:v>-9203.7999999999993</c:v>
                </c:pt>
              </c:numCache>
            </c:numRef>
          </c:val>
          <c:extLst>
            <c:ext xmlns:c16="http://schemas.microsoft.com/office/drawing/2014/chart" uri="{C3380CC4-5D6E-409C-BE32-E72D297353CC}">
              <c16:uniqueId val="{00000000-7C26-4C2A-8F56-55AD3948C42D}"/>
            </c:ext>
          </c:extLst>
        </c:ser>
        <c:dLbls>
          <c:showLegendKey val="0"/>
          <c:showVal val="0"/>
          <c:showCatName val="0"/>
          <c:showSerName val="0"/>
          <c:showPercent val="0"/>
          <c:showBubbleSize val="0"/>
        </c:dLbls>
        <c:gapWidth val="219"/>
        <c:overlap val="-27"/>
        <c:axId val="1007575856"/>
        <c:axId val="1007562416"/>
      </c:barChart>
      <c:catAx>
        <c:axId val="100757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62416"/>
        <c:crosses val="autoZero"/>
        <c:auto val="1"/>
        <c:lblAlgn val="ctr"/>
        <c:lblOffset val="100"/>
        <c:noMultiLvlLbl val="0"/>
      </c:catAx>
      <c:valAx>
        <c:axId val="1007562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75856"/>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w="19050">
                <a:noFill/>
              </a:ln>
              <a:effectLst/>
            </c:spPr>
            <c:extLst>
              <c:ext xmlns:c16="http://schemas.microsoft.com/office/drawing/2014/chart" uri="{C3380CC4-5D6E-409C-BE32-E72D297353CC}">
                <c16:uniqueId val="{00000001-7005-44D7-937E-839013EEF440}"/>
              </c:ext>
            </c:extLst>
          </c:dPt>
          <c:dPt>
            <c:idx val="1"/>
            <c:bubble3D val="0"/>
            <c:spPr>
              <a:solidFill>
                <a:srgbClr val="FFC065"/>
              </a:solidFill>
              <a:ln w="19050">
                <a:noFill/>
              </a:ln>
              <a:effectLst/>
            </c:spPr>
            <c:extLst>
              <c:ext xmlns:c16="http://schemas.microsoft.com/office/drawing/2014/chart" uri="{C3380CC4-5D6E-409C-BE32-E72D297353CC}">
                <c16:uniqueId val="{00000003-7005-44D7-937E-839013EEF440}"/>
              </c:ext>
            </c:extLst>
          </c:dPt>
          <c:cat>
            <c:strRef>
              <c:f>piovet!$A$21:$A$22</c:f>
              <c:strCache>
                <c:ptCount val="2"/>
                <c:pt idx="0">
                  <c:v>expence</c:v>
                </c:pt>
                <c:pt idx="1">
                  <c:v>income</c:v>
                </c:pt>
              </c:strCache>
            </c:strRef>
          </c:cat>
          <c:val>
            <c:numRef>
              <c:f>piovet!$B$21:$B$22</c:f>
              <c:numCache>
                <c:formatCode>General</c:formatCode>
                <c:ptCount val="2"/>
                <c:pt idx="0">
                  <c:v>-51846</c:v>
                </c:pt>
                <c:pt idx="1">
                  <c:v>49637</c:v>
                </c:pt>
              </c:numCache>
            </c:numRef>
          </c:val>
          <c:extLst>
            <c:ext xmlns:c16="http://schemas.microsoft.com/office/drawing/2014/chart" uri="{C3380CC4-5D6E-409C-BE32-E72D297353CC}">
              <c16:uniqueId val="{00000004-7005-44D7-937E-839013EEF44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22010513496432E-2"/>
          <c:y val="0.13254458080522968"/>
          <c:w val="0.93235597897300715"/>
          <c:h val="0.59116590843323202"/>
        </c:manualLayout>
      </c:layout>
      <c:lineChart>
        <c:grouping val="standard"/>
        <c:varyColors val="0"/>
        <c:ser>
          <c:idx val="0"/>
          <c:order val="0"/>
          <c:tx>
            <c:strRef>
              <c:f>'main data'!$E$1</c:f>
              <c:strCache>
                <c:ptCount val="1"/>
                <c:pt idx="0">
                  <c:v>INR</c:v>
                </c:pt>
              </c:strCache>
            </c:strRef>
          </c:tx>
          <c:spPr>
            <a:ln w="28575" cap="rnd">
              <a:gradFill>
                <a:gsLst>
                  <a:gs pos="35000">
                    <a:srgbClr val="228656"/>
                  </a:gs>
                  <a:gs pos="100000">
                    <a:schemeClr val="accent6">
                      <a:lumMod val="60000"/>
                      <a:lumOff val="40000"/>
                    </a:schemeClr>
                  </a:gs>
                </a:gsLst>
                <a:lin ang="5400000" scaled="1"/>
              </a:gradFill>
              <a:round/>
            </a:ln>
            <a:effectLst/>
          </c:spPr>
          <c:marker>
            <c:symbol val="none"/>
          </c:marker>
          <c:cat>
            <c:strRef>
              <c:f>'main data'!$D$2:$D$274</c:f>
              <c:strCache>
                <c:ptCount val="273"/>
                <c:pt idx="0">
                  <c:v>Brownie</c:v>
                </c:pt>
                <c:pt idx="1">
                  <c:v>To lended people</c:v>
                </c:pt>
                <c:pt idx="2">
                  <c:v>Dinner</c:v>
                </c:pt>
                <c:pt idx="3">
                  <c:v>Metro</c:v>
                </c:pt>
                <c:pt idx="4">
                  <c:v>Snacks</c:v>
                </c:pt>
                <c:pt idx="5">
                  <c:v>From vicky</c:v>
                </c:pt>
                <c:pt idx="6">
                  <c:v>From dad</c:v>
                </c:pt>
                <c:pt idx="7">
                  <c:v>Pizza</c:v>
                </c:pt>
                <c:pt idx="8">
                  <c:v>From kumara</c:v>
                </c:pt>
                <c:pt idx="9">
                  <c:v>Lunch</c:v>
                </c:pt>
                <c:pt idx="10">
                  <c:v>From dad</c:v>
                </c:pt>
                <c:pt idx="11">
                  <c:v>To karthi</c:v>
                </c:pt>
                <c:pt idx="12">
                  <c:v>Snacks</c:v>
                </c:pt>
                <c:pt idx="13">
                  <c:v>Tea lights</c:v>
                </c:pt>
                <c:pt idx="14">
                  <c:v>Creamstone</c:v>
                </c:pt>
                <c:pt idx="15">
                  <c:v>Tamen</c:v>
                </c:pt>
                <c:pt idx="16">
                  <c:v>Hoodie for gobi</c:v>
                </c:pt>
                <c:pt idx="17">
                  <c:v>Eggs</c:v>
                </c:pt>
                <c:pt idx="18">
                  <c:v>Earphone</c:v>
                </c:pt>
                <c:pt idx="19">
                  <c:v>Auto to laxmi mills</c:v>
                </c:pt>
                <c:pt idx="20">
                  <c:v>It better be worth it</c:v>
                </c:pt>
                <c:pt idx="21">
                  <c:v>Travel to koyambedu</c:v>
                </c:pt>
                <c:pt idx="22">
                  <c:v>Stuffs</c:v>
                </c:pt>
                <c:pt idx="23">
                  <c:v>Train cbe to chn</c:v>
                </c:pt>
                <c:pt idx="24">
                  <c:v>Lunch</c:v>
                </c:pt>
                <c:pt idx="25">
                  <c:v>Random stuff for drinks</c:v>
                </c:pt>
                <c:pt idx="26">
                  <c:v>Snacks</c:v>
                </c:pt>
                <c:pt idx="27">
                  <c:v>Bus ticket</c:v>
                </c:pt>
                <c:pt idx="28">
                  <c:v>Took from sbi</c:v>
                </c:pt>
                <c:pt idx="29">
                  <c:v>Ramen with gobi</c:v>
                </c:pt>
                <c:pt idx="30">
                  <c:v>Metro</c:v>
                </c:pt>
                <c:pt idx="31">
                  <c:v>To auto anna</c:v>
                </c:pt>
                <c:pt idx="32">
                  <c:v>To egmore</c:v>
                </c:pt>
                <c:pt idx="33">
                  <c:v>Kfc dinner</c:v>
                </c:pt>
                <c:pt idx="34">
                  <c:v>Lunch</c:v>
                </c:pt>
                <c:pt idx="35">
                  <c:v>Side dishes</c:v>
                </c:pt>
                <c:pt idx="36">
                  <c:v>Kfc </c:v>
                </c:pt>
                <c:pt idx="37">
                  <c:v>Games </c:v>
                </c:pt>
                <c:pt idx="38">
                  <c:v>Dinner with aravind and buddies</c:v>
                </c:pt>
                <c:pt idx="39">
                  <c:v>Mirror</c:v>
                </c:pt>
                <c:pt idx="40">
                  <c:v>Lunch</c:v>
                </c:pt>
                <c:pt idx="41">
                  <c:v>From dad</c:v>
                </c:pt>
                <c:pt idx="42">
                  <c:v>Dinner with aravind</c:v>
                </c:pt>
                <c:pt idx="43">
                  <c:v>Kfc dinner</c:v>
                </c:pt>
                <c:pt idx="44">
                  <c:v>From dad</c:v>
                </c:pt>
                <c:pt idx="45">
                  <c:v>Bean bag</c:v>
                </c:pt>
                <c:pt idx="46">
                  <c:v>Auto to Gobi's place</c:v>
                </c:pt>
                <c:pt idx="47">
                  <c:v>Cakepark</c:v>
                </c:pt>
                <c:pt idx="48">
                  <c:v>To kumara</c:v>
                </c:pt>
                <c:pt idx="49">
                  <c:v>To chennai</c:v>
                </c:pt>
                <c:pt idx="50">
                  <c:v>Salary from dad</c:v>
                </c:pt>
                <c:pt idx="51">
                  <c:v>To gobi</c:v>
                </c:pt>
                <c:pt idx="52">
                  <c:v>Shawarma</c:v>
                </c:pt>
                <c:pt idx="53">
                  <c:v>Good soup</c:v>
                </c:pt>
                <c:pt idx="54">
                  <c:v>To gowdham</c:v>
                </c:pt>
                <c:pt idx="55">
                  <c:v>Parotta</c:v>
                </c:pt>
                <c:pt idx="56">
                  <c:v>From dad</c:v>
                </c:pt>
                <c:pt idx="57">
                  <c:v>Vnr to apk</c:v>
                </c:pt>
                <c:pt idx="58">
                  <c:v>To vicky</c:v>
                </c:pt>
                <c:pt idx="59">
                  <c:v>To ksr station</c:v>
                </c:pt>
                <c:pt idx="60">
                  <c:v>Dinner</c:v>
                </c:pt>
                <c:pt idx="61">
                  <c:v>Cycle gap </c:v>
                </c:pt>
                <c:pt idx="62">
                  <c:v>Brunch</c:v>
                </c:pt>
                <c:pt idx="63">
                  <c:v>Rapido to pg</c:v>
                </c:pt>
                <c:pt idx="64">
                  <c:v>Sent to barath</c:v>
                </c:pt>
                <c:pt idx="65">
                  <c:v>Banana</c:v>
                </c:pt>
                <c:pt idx="66">
                  <c:v>Lunch with company</c:v>
                </c:pt>
                <c:pt idx="67">
                  <c:v>Rapido to pg</c:v>
                </c:pt>
                <c:pt idx="68">
                  <c:v>To vicky</c:v>
                </c:pt>
                <c:pt idx="69">
                  <c:v>To vishnu</c:v>
                </c:pt>
                <c:pt idx="70">
                  <c:v>Zinger box meal</c:v>
                </c:pt>
                <c:pt idx="71">
                  <c:v>From vicky</c:v>
                </c:pt>
                <c:pt idx="72">
                  <c:v>From dad</c:v>
                </c:pt>
                <c:pt idx="73">
                  <c:v>Snacks</c:v>
                </c:pt>
                <c:pt idx="74">
                  <c:v>Vishnu 100 gowdham 25</c:v>
                </c:pt>
                <c:pt idx="75">
                  <c:v>Paani poori</c:v>
                </c:pt>
                <c:pt idx="76">
                  <c:v>Kfc date with myself</c:v>
                </c:pt>
                <c:pt idx="77">
                  <c:v>Lemon tea</c:v>
                </c:pt>
                <c:pt idx="78">
                  <c:v>Train to vnr</c:v>
                </c:pt>
                <c:pt idx="79">
                  <c:v>Snack</c:v>
                </c:pt>
                <c:pt idx="80">
                  <c:v>Lunch with company</c:v>
                </c:pt>
                <c:pt idx="81">
                  <c:v>Pepsi</c:v>
                </c:pt>
                <c:pt idx="82">
                  <c:v>Dinner</c:v>
                </c:pt>
                <c:pt idx="83">
                  <c:v>Sent to vicky</c:v>
                </c:pt>
                <c:pt idx="84">
                  <c:v>Lunch</c:v>
                </c:pt>
                <c:pt idx="85">
                  <c:v>From vicky</c:v>
                </c:pt>
                <c:pt idx="86">
                  <c:v>Snacks with preethi and azar</c:v>
                </c:pt>
                <c:pt idx="87">
                  <c:v>Badminton</c:v>
                </c:pt>
                <c:pt idx="88">
                  <c:v>From dad</c:v>
                </c:pt>
                <c:pt idx="89">
                  <c:v>Lunch with company</c:v>
                </c:pt>
                <c:pt idx="90">
                  <c:v>Snacks</c:v>
                </c:pt>
                <c:pt idx="91">
                  <c:v>From vicky</c:v>
                </c:pt>
                <c:pt idx="92">
                  <c:v>Lunch + chocolate for preethi</c:v>
                </c:pt>
                <c:pt idx="93">
                  <c:v>Dinner</c:v>
                </c:pt>
                <c:pt idx="94">
                  <c:v>Snack with preethi</c:v>
                </c:pt>
                <c:pt idx="95">
                  <c:v>Lunch with company</c:v>
                </c:pt>
                <c:pt idx="96">
                  <c:v>To kumara</c:v>
                </c:pt>
                <c:pt idx="97">
                  <c:v>From dad</c:v>
                </c:pt>
                <c:pt idx="98">
                  <c:v>Eve snack</c:v>
                </c:pt>
                <c:pt idx="99">
                  <c:v>Bus to Bangalore</c:v>
                </c:pt>
                <c:pt idx="100">
                  <c:v>From dad</c:v>
                </c:pt>
                <c:pt idx="101">
                  <c:v>Snacks</c:v>
                </c:pt>
                <c:pt idx="102">
                  <c:v>Kumara</c:v>
                </c:pt>
                <c:pt idx="103">
                  <c:v>Siva + 100 cash</c:v>
                </c:pt>
                <c:pt idx="104">
                  <c:v>Gundan + prasanna</c:v>
                </c:pt>
                <c:pt idx="105">
                  <c:v>Dinesh and maddy + 100 cash</c:v>
                </c:pt>
                <c:pt idx="106">
                  <c:v>From gowdham</c:v>
                </c:pt>
                <c:pt idx="107">
                  <c:v>Lunch pongal</c:v>
                </c:pt>
                <c:pt idx="108">
                  <c:v>Dinner</c:v>
                </c:pt>
                <c:pt idx="109">
                  <c:v>From dad</c:v>
                </c:pt>
                <c:pt idx="110">
                  <c:v>Rapido to pg</c:v>
                </c:pt>
                <c:pt idx="111">
                  <c:v>Recharge by gowdham</c:v>
                </c:pt>
                <c:pt idx="112">
                  <c:v>Pizza</c:v>
                </c:pt>
                <c:pt idx="113">
                  <c:v>From kumara</c:v>
                </c:pt>
                <c:pt idx="114">
                  <c:v>Lunch with not preethi</c:v>
                </c:pt>
                <c:pt idx="115">
                  <c:v>Friday snacks with preethi gang</c:v>
                </c:pt>
                <c:pt idx="116">
                  <c:v>From gowdham</c:v>
                </c:pt>
                <c:pt idx="117">
                  <c:v>Lunch with gowdham</c:v>
                </c:pt>
                <c:pt idx="118">
                  <c:v>Rent</c:v>
                </c:pt>
                <c:pt idx="119">
                  <c:v>Coffee + biscuit</c:v>
                </c:pt>
                <c:pt idx="120">
                  <c:v>From barath and shakur</c:v>
                </c:pt>
                <c:pt idx="121">
                  <c:v>Ketch up</c:v>
                </c:pt>
                <c:pt idx="122">
                  <c:v>Dinner with roommate</c:v>
                </c:pt>
                <c:pt idx="123">
                  <c:v>Bingo</c:v>
                </c:pt>
                <c:pt idx="124">
                  <c:v>Rapido to pg</c:v>
                </c:pt>
                <c:pt idx="125">
                  <c:v>McDonald's with company</c:v>
                </c:pt>
                <c:pt idx="126">
                  <c:v>Lended money returned to vishnu</c:v>
                </c:pt>
                <c:pt idx="127">
                  <c:v>Lended money returned to kumara</c:v>
                </c:pt>
                <c:pt idx="128">
                  <c:v>Jan 2nd with shakur and barath</c:v>
                </c:pt>
                <c:pt idx="129">
                  <c:v>To gobi 1st 1/4th</c:v>
                </c:pt>
                <c:pt idx="130">
                  <c:v>To abijith and to vicky lend money returned</c:v>
                </c:pt>
                <c:pt idx="131">
                  <c:v>Refund for bus ticket</c:v>
                </c:pt>
                <c:pt idx="132">
                  <c:v>Lunch with company</c:v>
                </c:pt>
                <c:pt idx="133">
                  <c:v>Arrear and reval fee</c:v>
                </c:pt>
                <c:pt idx="134">
                  <c:v>Salary</c:v>
                </c:pt>
                <c:pt idx="135">
                  <c:v>Lunch with company</c:v>
                </c:pt>
                <c:pt idx="136">
                  <c:v>To vicky</c:v>
                </c:pt>
                <c:pt idx="137">
                  <c:v>Sent to preethi</c:v>
                </c:pt>
                <c:pt idx="138">
                  <c:v>Dairy milk</c:v>
                </c:pt>
                <c:pt idx="139">
                  <c:v>From barath</c:v>
                </c:pt>
                <c:pt idx="140">
                  <c:v>From gpay</c:v>
                </c:pt>
                <c:pt idx="141">
                  <c:v>From shakur</c:v>
                </c:pt>
                <c:pt idx="142">
                  <c:v>Lunch unlimited nv</c:v>
                </c:pt>
                <c:pt idx="143">
                  <c:v>From abi</c:v>
                </c:pt>
                <c:pt idx="144">
                  <c:v>Tablet to gowdham</c:v>
                </c:pt>
                <c:pt idx="145">
                  <c:v>Dinner with barath</c:v>
                </c:pt>
                <c:pt idx="146">
                  <c:v>Train to vnr</c:v>
                </c:pt>
                <c:pt idx="147">
                  <c:v>Snacks</c:v>
                </c:pt>
                <c:pt idx="148">
                  <c:v>From dad</c:v>
                </c:pt>
                <c:pt idx="149">
                  <c:v>To barath</c:v>
                </c:pt>
                <c:pt idx="150">
                  <c:v>Pg to office</c:v>
                </c:pt>
                <c:pt idx="151">
                  <c:v>From kumara</c:v>
                </c:pt>
                <c:pt idx="152">
                  <c:v>Horlicks + kolakattai</c:v>
                </c:pt>
                <c:pt idx="153">
                  <c:v>Bommasandra to pg</c:v>
                </c:pt>
                <c:pt idx="154">
                  <c:v>From Deepak</c:v>
                </c:pt>
                <c:pt idx="155">
                  <c:v>Water</c:v>
                </c:pt>
                <c:pt idx="156">
                  <c:v>From abi</c:v>
                </c:pt>
                <c:pt idx="157">
                  <c:v>Rapido + toll</c:v>
                </c:pt>
                <c:pt idx="158">
                  <c:v>From Deepak</c:v>
                </c:pt>
                <c:pt idx="159">
                  <c:v>Coffee and thattai</c:v>
                </c:pt>
                <c:pt idx="160">
                  <c:v>Lunch with barath</c:v>
                </c:pt>
                <c:pt idx="161">
                  <c:v>From vicky</c:v>
                </c:pt>
                <c:pt idx="162">
                  <c:v>From ganesan</c:v>
                </c:pt>
                <c:pt idx="163">
                  <c:v>Coconut water with stu</c:v>
                </c:pt>
                <c:pt idx="164">
                  <c:v>Dinner with barath</c:v>
                </c:pt>
                <c:pt idx="165">
                  <c:v>Cab</c:v>
                </c:pt>
                <c:pt idx="166">
                  <c:v>Books</c:v>
                </c:pt>
                <c:pt idx="167">
                  <c:v>Corn</c:v>
                </c:pt>
                <c:pt idx="168">
                  <c:v>Water</c:v>
                </c:pt>
                <c:pt idx="169">
                  <c:v>Milk with bharath</c:v>
                </c:pt>
                <c:pt idx="170">
                  <c:v>Beer</c:v>
                </c:pt>
                <c:pt idx="171">
                  <c:v>Lunch with company</c:v>
                </c:pt>
                <c:pt idx="172">
                  <c:v>Lemon tea with company</c:v>
                </c:pt>
                <c:pt idx="173">
                  <c:v>Puffs and coffee</c:v>
                </c:pt>
                <c:pt idx="174">
                  <c:v>Dinner with barath</c:v>
                </c:pt>
                <c:pt idx="175">
                  <c:v>Puffs</c:v>
                </c:pt>
                <c:pt idx="176">
                  <c:v>Bun</c:v>
                </c:pt>
                <c:pt idx="177">
                  <c:v>Milk with bharath</c:v>
                </c:pt>
                <c:pt idx="178">
                  <c:v>Taxi</c:v>
                </c:pt>
                <c:pt idx="179">
                  <c:v>Snacks</c:v>
                </c:pt>
                <c:pt idx="180">
                  <c:v>Water</c:v>
                </c:pt>
                <c:pt idx="181">
                  <c:v>Lunch with barath</c:v>
                </c:pt>
                <c:pt idx="182">
                  <c:v>Milk with bharath</c:v>
                </c:pt>
                <c:pt idx="183">
                  <c:v>To siva</c:v>
                </c:pt>
                <c:pt idx="184">
                  <c:v>To kumara</c:v>
                </c:pt>
                <c:pt idx="185">
                  <c:v>To abijith</c:v>
                </c:pt>
                <c:pt idx="186">
                  <c:v>To rahul</c:v>
                </c:pt>
                <c:pt idx="187">
                  <c:v>From dad</c:v>
                </c:pt>
                <c:pt idx="188">
                  <c:v>Lended money</c:v>
                </c:pt>
                <c:pt idx="189">
                  <c:v>Spiderman </c:v>
                </c:pt>
                <c:pt idx="190">
                  <c:v>Lunch</c:v>
                </c:pt>
                <c:pt idx="191">
                  <c:v>Milk with bharath</c:v>
                </c:pt>
                <c:pt idx="192">
                  <c:v>Lunch with company</c:v>
                </c:pt>
                <c:pt idx="193">
                  <c:v>Gave to gowdham</c:v>
                </c:pt>
                <c:pt idx="194">
                  <c:v>Egg</c:v>
                </c:pt>
                <c:pt idx="195">
                  <c:v>Panipoori</c:v>
                </c:pt>
                <c:pt idx="196">
                  <c:v>Lunch</c:v>
                </c:pt>
                <c:pt idx="197">
                  <c:v>Milk with bharath</c:v>
                </c:pt>
                <c:pt idx="198">
                  <c:v>Lunch</c:v>
                </c:pt>
                <c:pt idx="199">
                  <c:v>Snacks</c:v>
                </c:pt>
                <c:pt idx="200">
                  <c:v>Panipoori</c:v>
                </c:pt>
                <c:pt idx="201">
                  <c:v>Snacks</c:v>
                </c:pt>
                <c:pt idx="202">
                  <c:v>Milk with bharath</c:v>
                </c:pt>
                <c:pt idx="203">
                  <c:v>Milk with bharath</c:v>
                </c:pt>
                <c:pt idx="204">
                  <c:v>From dad</c:v>
                </c:pt>
                <c:pt idx="205">
                  <c:v>From stu</c:v>
                </c:pt>
                <c:pt idx="206">
                  <c:v>Shopping</c:v>
                </c:pt>
                <c:pt idx="207">
                  <c:v>Momos</c:v>
                </c:pt>
                <c:pt idx="208">
                  <c:v>Snack with bharath</c:v>
                </c:pt>
                <c:pt idx="209">
                  <c:v>Lunch with company</c:v>
                </c:pt>
                <c:pt idx="210">
                  <c:v>Milk with bharath</c:v>
                </c:pt>
                <c:pt idx="211">
                  <c:v>Breakfast with stu</c:v>
                </c:pt>
                <c:pt idx="212">
                  <c:v>Lunch with stu</c:v>
                </c:pt>
                <c:pt idx="213">
                  <c:v>5 star</c:v>
                </c:pt>
                <c:pt idx="214">
                  <c:v>Milk</c:v>
                </c:pt>
                <c:pt idx="215">
                  <c:v>Milk with bharath</c:v>
                </c:pt>
                <c:pt idx="216">
                  <c:v>Horlicks</c:v>
                </c:pt>
                <c:pt idx="217">
                  <c:v>Milk with bharath</c:v>
                </c:pt>
                <c:pt idx="218">
                  <c:v>Shoe</c:v>
                </c:pt>
                <c:pt idx="219">
                  <c:v>Cap</c:v>
                </c:pt>
                <c:pt idx="220">
                  <c:v>Lunch with stu</c:v>
                </c:pt>
                <c:pt idx="221">
                  <c:v>Milk with bharath</c:v>
                </c:pt>
                <c:pt idx="222">
                  <c:v>Full hand and a hoodie</c:v>
                </c:pt>
                <c:pt idx="223">
                  <c:v>Rent</c:v>
                </c:pt>
                <c:pt idx="224">
                  <c:v>From dad</c:v>
                </c:pt>
                <c:pt idx="225">
                  <c:v>Dinner</c:v>
                </c:pt>
                <c:pt idx="226">
                  <c:v>Snack</c:v>
                </c:pt>
                <c:pt idx="227">
                  <c:v>For company</c:v>
                </c:pt>
                <c:pt idx="228">
                  <c:v>Breakfast</c:v>
                </c:pt>
                <c:pt idx="229">
                  <c:v>Milk with bharath</c:v>
                </c:pt>
                <c:pt idx="230">
                  <c:v>Belt</c:v>
                </c:pt>
                <c:pt idx="231">
                  <c:v>Mask</c:v>
                </c:pt>
                <c:pt idx="232">
                  <c:v>Snack</c:v>
                </c:pt>
                <c:pt idx="233">
                  <c:v>From dad</c:v>
                </c:pt>
                <c:pt idx="234">
                  <c:v>Ice cream</c:v>
                </c:pt>
                <c:pt idx="235">
                  <c:v>Vadapaav</c:v>
                </c:pt>
                <c:pt idx="236">
                  <c:v>Showergel</c:v>
                </c:pt>
                <c:pt idx="237">
                  <c:v>Lunch with company</c:v>
                </c:pt>
                <c:pt idx="238">
                  <c:v>Bharath birthday</c:v>
                </c:pt>
                <c:pt idx="239">
                  <c:v>Lunch with company</c:v>
                </c:pt>
                <c:pt idx="240">
                  <c:v>Breakfast</c:v>
                </c:pt>
                <c:pt idx="241">
                  <c:v>Lunch with company</c:v>
                </c:pt>
                <c:pt idx="242">
                  <c:v>Dinner</c:v>
                </c:pt>
                <c:pt idx="243">
                  <c:v>Panipoori</c:v>
                </c:pt>
                <c:pt idx="244">
                  <c:v>Breakfast</c:v>
                </c:pt>
                <c:pt idx="245">
                  <c:v>Snack</c:v>
                </c:pt>
                <c:pt idx="246">
                  <c:v>Zomato</c:v>
                </c:pt>
                <c:pt idx="247">
                  <c:v>Dinner with gowdham</c:v>
                </c:pt>
                <c:pt idx="248">
                  <c:v>Dinner with gowdham</c:v>
                </c:pt>
                <c:pt idx="249">
                  <c:v>Rapido</c:v>
                </c:pt>
                <c:pt idx="250">
                  <c:v>Lunch with company</c:v>
                </c:pt>
                <c:pt idx="251">
                  <c:v>From dad</c:v>
                </c:pt>
                <c:pt idx="252">
                  <c:v>Breakfast</c:v>
                </c:pt>
                <c:pt idx="253">
                  <c:v>Beer</c:v>
                </c:pt>
                <c:pt idx="254">
                  <c:v>Snack</c:v>
                </c:pt>
                <c:pt idx="255">
                  <c:v>Panipoori</c:v>
                </c:pt>
                <c:pt idx="256">
                  <c:v>Cashback</c:v>
                </c:pt>
                <c:pt idx="257">
                  <c:v>Lunch with company</c:v>
                </c:pt>
                <c:pt idx="258">
                  <c:v>Breakfast</c:v>
                </c:pt>
                <c:pt idx="259">
                  <c:v>Lunch with company</c:v>
                </c:pt>
                <c:pt idx="260">
                  <c:v>Rapido</c:v>
                </c:pt>
                <c:pt idx="261">
                  <c:v>Dinner</c:v>
                </c:pt>
                <c:pt idx="262">
                  <c:v>Snack</c:v>
                </c:pt>
                <c:pt idx="263">
                  <c:v>Dinner</c:v>
                </c:pt>
                <c:pt idx="264">
                  <c:v>Panipoori</c:v>
                </c:pt>
                <c:pt idx="265">
                  <c:v>Rapido</c:v>
                </c:pt>
                <c:pt idx="266">
                  <c:v>Rapido</c:v>
                </c:pt>
                <c:pt idx="267">
                  <c:v>Dinner</c:v>
                </c:pt>
                <c:pt idx="268">
                  <c:v>Dinner</c:v>
                </c:pt>
                <c:pt idx="269">
                  <c:v>Lunch with company</c:v>
                </c:pt>
                <c:pt idx="270">
                  <c:v>Rapido</c:v>
                </c:pt>
                <c:pt idx="271">
                  <c:v>Lunch</c:v>
                </c:pt>
                <c:pt idx="272">
                  <c:v>Got from gobi</c:v>
                </c:pt>
              </c:strCache>
            </c:strRef>
          </c:cat>
          <c:val>
            <c:numRef>
              <c:f>'main data'!$E$2:$E$274</c:f>
              <c:numCache>
                <c:formatCode>General</c:formatCode>
                <c:ptCount val="273"/>
                <c:pt idx="0">
                  <c:v>-50</c:v>
                </c:pt>
                <c:pt idx="1">
                  <c:v>-300</c:v>
                </c:pt>
                <c:pt idx="2">
                  <c:v>-78</c:v>
                </c:pt>
                <c:pt idx="3">
                  <c:v>-30</c:v>
                </c:pt>
                <c:pt idx="4">
                  <c:v>-67</c:v>
                </c:pt>
                <c:pt idx="5">
                  <c:v>100</c:v>
                </c:pt>
                <c:pt idx="6">
                  <c:v>500</c:v>
                </c:pt>
                <c:pt idx="7">
                  <c:v>-339.15</c:v>
                </c:pt>
                <c:pt idx="8">
                  <c:v>200</c:v>
                </c:pt>
                <c:pt idx="9">
                  <c:v>-243</c:v>
                </c:pt>
                <c:pt idx="10">
                  <c:v>1500</c:v>
                </c:pt>
                <c:pt idx="11">
                  <c:v>-100</c:v>
                </c:pt>
                <c:pt idx="12">
                  <c:v>-40</c:v>
                </c:pt>
                <c:pt idx="13">
                  <c:v>-84</c:v>
                </c:pt>
                <c:pt idx="14">
                  <c:v>-289</c:v>
                </c:pt>
                <c:pt idx="15">
                  <c:v>-324.7</c:v>
                </c:pt>
                <c:pt idx="16">
                  <c:v>-399</c:v>
                </c:pt>
                <c:pt idx="17">
                  <c:v>-83</c:v>
                </c:pt>
                <c:pt idx="18">
                  <c:v>-399</c:v>
                </c:pt>
                <c:pt idx="19">
                  <c:v>-120</c:v>
                </c:pt>
                <c:pt idx="20">
                  <c:v>-1300</c:v>
                </c:pt>
                <c:pt idx="21">
                  <c:v>-138</c:v>
                </c:pt>
                <c:pt idx="22">
                  <c:v>-336</c:v>
                </c:pt>
                <c:pt idx="23">
                  <c:v>-201.8</c:v>
                </c:pt>
                <c:pt idx="24">
                  <c:v>-200</c:v>
                </c:pt>
                <c:pt idx="25">
                  <c:v>-111</c:v>
                </c:pt>
                <c:pt idx="26">
                  <c:v>-250</c:v>
                </c:pt>
                <c:pt idx="27">
                  <c:v>-1575</c:v>
                </c:pt>
                <c:pt idx="28">
                  <c:v>-200</c:v>
                </c:pt>
                <c:pt idx="29">
                  <c:v>-380</c:v>
                </c:pt>
                <c:pt idx="30">
                  <c:v>-60</c:v>
                </c:pt>
                <c:pt idx="31">
                  <c:v>-50</c:v>
                </c:pt>
                <c:pt idx="32">
                  <c:v>-270</c:v>
                </c:pt>
                <c:pt idx="33">
                  <c:v>-348</c:v>
                </c:pt>
                <c:pt idx="34">
                  <c:v>-80</c:v>
                </c:pt>
                <c:pt idx="35">
                  <c:v>-165</c:v>
                </c:pt>
                <c:pt idx="36">
                  <c:v>-475</c:v>
                </c:pt>
                <c:pt idx="37">
                  <c:v>-100</c:v>
                </c:pt>
                <c:pt idx="38">
                  <c:v>-491</c:v>
                </c:pt>
                <c:pt idx="39">
                  <c:v>-70</c:v>
                </c:pt>
                <c:pt idx="40">
                  <c:v>-80</c:v>
                </c:pt>
                <c:pt idx="41">
                  <c:v>10000</c:v>
                </c:pt>
                <c:pt idx="42">
                  <c:v>-373</c:v>
                </c:pt>
                <c:pt idx="43">
                  <c:v>-641</c:v>
                </c:pt>
                <c:pt idx="44">
                  <c:v>1000</c:v>
                </c:pt>
                <c:pt idx="45">
                  <c:v>-2099</c:v>
                </c:pt>
                <c:pt idx="46">
                  <c:v>-214</c:v>
                </c:pt>
                <c:pt idx="47">
                  <c:v>-125</c:v>
                </c:pt>
                <c:pt idx="48">
                  <c:v>-150</c:v>
                </c:pt>
                <c:pt idx="49">
                  <c:v>-1000</c:v>
                </c:pt>
                <c:pt idx="50">
                  <c:v>5000</c:v>
                </c:pt>
                <c:pt idx="51">
                  <c:v>-1500</c:v>
                </c:pt>
                <c:pt idx="52">
                  <c:v>-80</c:v>
                </c:pt>
                <c:pt idx="53">
                  <c:v>-50</c:v>
                </c:pt>
                <c:pt idx="54">
                  <c:v>-150</c:v>
                </c:pt>
                <c:pt idx="55">
                  <c:v>-120</c:v>
                </c:pt>
                <c:pt idx="56">
                  <c:v>500</c:v>
                </c:pt>
                <c:pt idx="57">
                  <c:v>-50</c:v>
                </c:pt>
                <c:pt idx="58">
                  <c:v>-200</c:v>
                </c:pt>
                <c:pt idx="59">
                  <c:v>-153</c:v>
                </c:pt>
                <c:pt idx="60">
                  <c:v>-155</c:v>
                </c:pt>
                <c:pt idx="61">
                  <c:v>-120</c:v>
                </c:pt>
                <c:pt idx="62">
                  <c:v>-105</c:v>
                </c:pt>
                <c:pt idx="63">
                  <c:v>-44</c:v>
                </c:pt>
                <c:pt idx="64">
                  <c:v>-100</c:v>
                </c:pt>
                <c:pt idx="65">
                  <c:v>-10</c:v>
                </c:pt>
                <c:pt idx="66">
                  <c:v>-138</c:v>
                </c:pt>
                <c:pt idx="67">
                  <c:v>-43</c:v>
                </c:pt>
                <c:pt idx="68">
                  <c:v>-300</c:v>
                </c:pt>
                <c:pt idx="69">
                  <c:v>-100</c:v>
                </c:pt>
                <c:pt idx="70">
                  <c:v>-279</c:v>
                </c:pt>
                <c:pt idx="71">
                  <c:v>300</c:v>
                </c:pt>
                <c:pt idx="72">
                  <c:v>1500</c:v>
                </c:pt>
                <c:pt idx="73">
                  <c:v>-115</c:v>
                </c:pt>
                <c:pt idx="74">
                  <c:v>125</c:v>
                </c:pt>
                <c:pt idx="75">
                  <c:v>-25</c:v>
                </c:pt>
                <c:pt idx="76">
                  <c:v>-259</c:v>
                </c:pt>
                <c:pt idx="77">
                  <c:v>-18</c:v>
                </c:pt>
                <c:pt idx="78">
                  <c:v>-325</c:v>
                </c:pt>
                <c:pt idx="79">
                  <c:v>-40</c:v>
                </c:pt>
                <c:pt idx="80">
                  <c:v>-133</c:v>
                </c:pt>
                <c:pt idx="81">
                  <c:v>-40</c:v>
                </c:pt>
                <c:pt idx="82">
                  <c:v>-465</c:v>
                </c:pt>
                <c:pt idx="83">
                  <c:v>-300</c:v>
                </c:pt>
                <c:pt idx="84">
                  <c:v>-302</c:v>
                </c:pt>
                <c:pt idx="85">
                  <c:v>310</c:v>
                </c:pt>
                <c:pt idx="86">
                  <c:v>-176</c:v>
                </c:pt>
                <c:pt idx="87">
                  <c:v>-200</c:v>
                </c:pt>
                <c:pt idx="88">
                  <c:v>2000</c:v>
                </c:pt>
                <c:pt idx="89">
                  <c:v>-188</c:v>
                </c:pt>
                <c:pt idx="90">
                  <c:v>-37</c:v>
                </c:pt>
                <c:pt idx="91">
                  <c:v>200</c:v>
                </c:pt>
                <c:pt idx="92">
                  <c:v>-171</c:v>
                </c:pt>
                <c:pt idx="93">
                  <c:v>-301.14999999999998</c:v>
                </c:pt>
                <c:pt idx="94">
                  <c:v>-59</c:v>
                </c:pt>
                <c:pt idx="95">
                  <c:v>-148</c:v>
                </c:pt>
                <c:pt idx="96">
                  <c:v>-200</c:v>
                </c:pt>
                <c:pt idx="97">
                  <c:v>1000</c:v>
                </c:pt>
                <c:pt idx="98">
                  <c:v>-100</c:v>
                </c:pt>
                <c:pt idx="99">
                  <c:v>-1365</c:v>
                </c:pt>
                <c:pt idx="100">
                  <c:v>1500</c:v>
                </c:pt>
                <c:pt idx="101">
                  <c:v>-70</c:v>
                </c:pt>
                <c:pt idx="102">
                  <c:v>170</c:v>
                </c:pt>
                <c:pt idx="103">
                  <c:v>70</c:v>
                </c:pt>
                <c:pt idx="104">
                  <c:v>340</c:v>
                </c:pt>
                <c:pt idx="105">
                  <c:v>240</c:v>
                </c:pt>
                <c:pt idx="106">
                  <c:v>340</c:v>
                </c:pt>
                <c:pt idx="107">
                  <c:v>-1530</c:v>
                </c:pt>
                <c:pt idx="108">
                  <c:v>-66</c:v>
                </c:pt>
                <c:pt idx="109">
                  <c:v>1000</c:v>
                </c:pt>
                <c:pt idx="110">
                  <c:v>-43</c:v>
                </c:pt>
                <c:pt idx="111">
                  <c:v>-479</c:v>
                </c:pt>
                <c:pt idx="112">
                  <c:v>-301.75</c:v>
                </c:pt>
                <c:pt idx="113">
                  <c:v>200</c:v>
                </c:pt>
                <c:pt idx="114">
                  <c:v>-135.5</c:v>
                </c:pt>
                <c:pt idx="115">
                  <c:v>-106</c:v>
                </c:pt>
                <c:pt idx="116">
                  <c:v>260</c:v>
                </c:pt>
                <c:pt idx="117">
                  <c:v>-535.29999999999995</c:v>
                </c:pt>
                <c:pt idx="118">
                  <c:v>-4580</c:v>
                </c:pt>
                <c:pt idx="119">
                  <c:v>-15</c:v>
                </c:pt>
                <c:pt idx="120">
                  <c:v>440</c:v>
                </c:pt>
                <c:pt idx="121">
                  <c:v>-20</c:v>
                </c:pt>
                <c:pt idx="122">
                  <c:v>-877.81</c:v>
                </c:pt>
                <c:pt idx="123">
                  <c:v>-10</c:v>
                </c:pt>
                <c:pt idx="124">
                  <c:v>-42</c:v>
                </c:pt>
                <c:pt idx="125">
                  <c:v>-211</c:v>
                </c:pt>
                <c:pt idx="126">
                  <c:v>-40</c:v>
                </c:pt>
                <c:pt idx="127">
                  <c:v>-30</c:v>
                </c:pt>
                <c:pt idx="128">
                  <c:v>-354</c:v>
                </c:pt>
                <c:pt idx="129">
                  <c:v>-500</c:v>
                </c:pt>
                <c:pt idx="130">
                  <c:v>-500</c:v>
                </c:pt>
                <c:pt idx="131">
                  <c:v>-60</c:v>
                </c:pt>
                <c:pt idx="132">
                  <c:v>-388</c:v>
                </c:pt>
                <c:pt idx="133">
                  <c:v>-1400</c:v>
                </c:pt>
                <c:pt idx="134">
                  <c:v>8000</c:v>
                </c:pt>
                <c:pt idx="135">
                  <c:v>-106</c:v>
                </c:pt>
                <c:pt idx="136">
                  <c:v>-80</c:v>
                </c:pt>
                <c:pt idx="137">
                  <c:v>-107</c:v>
                </c:pt>
                <c:pt idx="138">
                  <c:v>-10</c:v>
                </c:pt>
                <c:pt idx="139">
                  <c:v>201</c:v>
                </c:pt>
                <c:pt idx="140">
                  <c:v>5</c:v>
                </c:pt>
                <c:pt idx="141">
                  <c:v>140</c:v>
                </c:pt>
                <c:pt idx="142">
                  <c:v>-300</c:v>
                </c:pt>
                <c:pt idx="143">
                  <c:v>300</c:v>
                </c:pt>
                <c:pt idx="144">
                  <c:v>-8</c:v>
                </c:pt>
                <c:pt idx="145">
                  <c:v>-200</c:v>
                </c:pt>
                <c:pt idx="146">
                  <c:v>-725</c:v>
                </c:pt>
                <c:pt idx="147">
                  <c:v>-85</c:v>
                </c:pt>
                <c:pt idx="148">
                  <c:v>1000</c:v>
                </c:pt>
                <c:pt idx="149">
                  <c:v>-20</c:v>
                </c:pt>
                <c:pt idx="150">
                  <c:v>-43</c:v>
                </c:pt>
                <c:pt idx="151">
                  <c:v>30</c:v>
                </c:pt>
                <c:pt idx="152">
                  <c:v>-25</c:v>
                </c:pt>
                <c:pt idx="153">
                  <c:v>-199</c:v>
                </c:pt>
                <c:pt idx="154">
                  <c:v>250</c:v>
                </c:pt>
                <c:pt idx="155">
                  <c:v>-20</c:v>
                </c:pt>
                <c:pt idx="156">
                  <c:v>20</c:v>
                </c:pt>
                <c:pt idx="157">
                  <c:v>-286</c:v>
                </c:pt>
                <c:pt idx="158">
                  <c:v>250</c:v>
                </c:pt>
                <c:pt idx="159">
                  <c:v>-14</c:v>
                </c:pt>
                <c:pt idx="160">
                  <c:v>-115</c:v>
                </c:pt>
                <c:pt idx="161">
                  <c:v>80</c:v>
                </c:pt>
                <c:pt idx="162">
                  <c:v>40</c:v>
                </c:pt>
                <c:pt idx="163">
                  <c:v>-50</c:v>
                </c:pt>
                <c:pt idx="164">
                  <c:v>-504</c:v>
                </c:pt>
                <c:pt idx="165">
                  <c:v>-306</c:v>
                </c:pt>
                <c:pt idx="166">
                  <c:v>-400</c:v>
                </c:pt>
                <c:pt idx="167">
                  <c:v>-30</c:v>
                </c:pt>
                <c:pt idx="168">
                  <c:v>-30</c:v>
                </c:pt>
                <c:pt idx="169">
                  <c:v>-40</c:v>
                </c:pt>
                <c:pt idx="170">
                  <c:v>-150</c:v>
                </c:pt>
                <c:pt idx="171">
                  <c:v>-262</c:v>
                </c:pt>
                <c:pt idx="172">
                  <c:v>-15</c:v>
                </c:pt>
                <c:pt idx="173">
                  <c:v>-32</c:v>
                </c:pt>
                <c:pt idx="174">
                  <c:v>-239</c:v>
                </c:pt>
                <c:pt idx="175">
                  <c:v>-25</c:v>
                </c:pt>
                <c:pt idx="176">
                  <c:v>-18</c:v>
                </c:pt>
                <c:pt idx="177">
                  <c:v>-80</c:v>
                </c:pt>
                <c:pt idx="178">
                  <c:v>-80</c:v>
                </c:pt>
                <c:pt idx="179">
                  <c:v>-20</c:v>
                </c:pt>
                <c:pt idx="180">
                  <c:v>-20</c:v>
                </c:pt>
                <c:pt idx="181">
                  <c:v>-85</c:v>
                </c:pt>
                <c:pt idx="182">
                  <c:v>-40</c:v>
                </c:pt>
                <c:pt idx="183">
                  <c:v>-100</c:v>
                </c:pt>
                <c:pt idx="184">
                  <c:v>-100</c:v>
                </c:pt>
                <c:pt idx="185">
                  <c:v>-200</c:v>
                </c:pt>
                <c:pt idx="186">
                  <c:v>-113</c:v>
                </c:pt>
                <c:pt idx="187">
                  <c:v>1000</c:v>
                </c:pt>
                <c:pt idx="188">
                  <c:v>400</c:v>
                </c:pt>
                <c:pt idx="189">
                  <c:v>-363.72</c:v>
                </c:pt>
                <c:pt idx="190">
                  <c:v>-160</c:v>
                </c:pt>
                <c:pt idx="191">
                  <c:v>-70</c:v>
                </c:pt>
                <c:pt idx="192">
                  <c:v>-110</c:v>
                </c:pt>
                <c:pt idx="193">
                  <c:v>-50</c:v>
                </c:pt>
                <c:pt idx="194">
                  <c:v>-30</c:v>
                </c:pt>
                <c:pt idx="195">
                  <c:v>-20</c:v>
                </c:pt>
                <c:pt idx="196">
                  <c:v>-30</c:v>
                </c:pt>
                <c:pt idx="197">
                  <c:v>-110</c:v>
                </c:pt>
                <c:pt idx="198">
                  <c:v>-40</c:v>
                </c:pt>
                <c:pt idx="199">
                  <c:v>-75</c:v>
                </c:pt>
                <c:pt idx="200">
                  <c:v>-80</c:v>
                </c:pt>
                <c:pt idx="201">
                  <c:v>-74</c:v>
                </c:pt>
                <c:pt idx="202">
                  <c:v>-65</c:v>
                </c:pt>
                <c:pt idx="203">
                  <c:v>-25</c:v>
                </c:pt>
                <c:pt idx="204">
                  <c:v>1000</c:v>
                </c:pt>
                <c:pt idx="205">
                  <c:v>240</c:v>
                </c:pt>
                <c:pt idx="206">
                  <c:v>-241</c:v>
                </c:pt>
                <c:pt idx="207">
                  <c:v>-195</c:v>
                </c:pt>
                <c:pt idx="208">
                  <c:v>-40</c:v>
                </c:pt>
                <c:pt idx="209">
                  <c:v>-280</c:v>
                </c:pt>
                <c:pt idx="210">
                  <c:v>-25</c:v>
                </c:pt>
                <c:pt idx="211">
                  <c:v>-110</c:v>
                </c:pt>
                <c:pt idx="212">
                  <c:v>-100</c:v>
                </c:pt>
                <c:pt idx="213">
                  <c:v>-1120.72</c:v>
                </c:pt>
                <c:pt idx="214">
                  <c:v>-10</c:v>
                </c:pt>
                <c:pt idx="215">
                  <c:v>-25</c:v>
                </c:pt>
                <c:pt idx="216">
                  <c:v>-15</c:v>
                </c:pt>
                <c:pt idx="217">
                  <c:v>-25</c:v>
                </c:pt>
                <c:pt idx="218">
                  <c:v>-500</c:v>
                </c:pt>
                <c:pt idx="219">
                  <c:v>-140</c:v>
                </c:pt>
                <c:pt idx="220">
                  <c:v>-150</c:v>
                </c:pt>
                <c:pt idx="221">
                  <c:v>-25</c:v>
                </c:pt>
                <c:pt idx="222">
                  <c:v>-1800</c:v>
                </c:pt>
                <c:pt idx="223">
                  <c:v>-4800</c:v>
                </c:pt>
                <c:pt idx="224">
                  <c:v>8000</c:v>
                </c:pt>
                <c:pt idx="225">
                  <c:v>-324</c:v>
                </c:pt>
                <c:pt idx="226">
                  <c:v>-65</c:v>
                </c:pt>
                <c:pt idx="227">
                  <c:v>-30</c:v>
                </c:pt>
                <c:pt idx="228">
                  <c:v>-200</c:v>
                </c:pt>
                <c:pt idx="229">
                  <c:v>-25</c:v>
                </c:pt>
                <c:pt idx="230">
                  <c:v>-130</c:v>
                </c:pt>
                <c:pt idx="231">
                  <c:v>-20</c:v>
                </c:pt>
                <c:pt idx="232">
                  <c:v>-40</c:v>
                </c:pt>
                <c:pt idx="233">
                  <c:v>1000</c:v>
                </c:pt>
                <c:pt idx="234">
                  <c:v>-504</c:v>
                </c:pt>
                <c:pt idx="235">
                  <c:v>-75</c:v>
                </c:pt>
                <c:pt idx="236">
                  <c:v>-196</c:v>
                </c:pt>
                <c:pt idx="237">
                  <c:v>-160</c:v>
                </c:pt>
                <c:pt idx="238">
                  <c:v>-115</c:v>
                </c:pt>
                <c:pt idx="239">
                  <c:v>-128</c:v>
                </c:pt>
                <c:pt idx="240">
                  <c:v>-70</c:v>
                </c:pt>
                <c:pt idx="241">
                  <c:v>-40</c:v>
                </c:pt>
                <c:pt idx="242">
                  <c:v>-50</c:v>
                </c:pt>
                <c:pt idx="243">
                  <c:v>-40</c:v>
                </c:pt>
                <c:pt idx="244">
                  <c:v>-40</c:v>
                </c:pt>
                <c:pt idx="245">
                  <c:v>-94</c:v>
                </c:pt>
                <c:pt idx="246">
                  <c:v>-269.39999999999998</c:v>
                </c:pt>
                <c:pt idx="247">
                  <c:v>-120</c:v>
                </c:pt>
                <c:pt idx="248">
                  <c:v>-130</c:v>
                </c:pt>
                <c:pt idx="249">
                  <c:v>-35</c:v>
                </c:pt>
                <c:pt idx="250">
                  <c:v>-75</c:v>
                </c:pt>
                <c:pt idx="251">
                  <c:v>2000</c:v>
                </c:pt>
                <c:pt idx="252">
                  <c:v>-30</c:v>
                </c:pt>
                <c:pt idx="253">
                  <c:v>-150</c:v>
                </c:pt>
                <c:pt idx="254">
                  <c:v>-102</c:v>
                </c:pt>
                <c:pt idx="255">
                  <c:v>-40</c:v>
                </c:pt>
                <c:pt idx="256">
                  <c:v>3</c:v>
                </c:pt>
                <c:pt idx="257">
                  <c:v>-150</c:v>
                </c:pt>
                <c:pt idx="258">
                  <c:v>-60</c:v>
                </c:pt>
                <c:pt idx="259">
                  <c:v>-145</c:v>
                </c:pt>
                <c:pt idx="260">
                  <c:v>-58</c:v>
                </c:pt>
                <c:pt idx="261">
                  <c:v>-95</c:v>
                </c:pt>
                <c:pt idx="262">
                  <c:v>-15</c:v>
                </c:pt>
                <c:pt idx="263">
                  <c:v>-70</c:v>
                </c:pt>
                <c:pt idx="264">
                  <c:v>-20</c:v>
                </c:pt>
                <c:pt idx="265">
                  <c:v>-58</c:v>
                </c:pt>
                <c:pt idx="266">
                  <c:v>-50</c:v>
                </c:pt>
                <c:pt idx="267">
                  <c:v>-179</c:v>
                </c:pt>
                <c:pt idx="268">
                  <c:v>-90</c:v>
                </c:pt>
                <c:pt idx="269">
                  <c:v>-97</c:v>
                </c:pt>
                <c:pt idx="270">
                  <c:v>-130</c:v>
                </c:pt>
                <c:pt idx="271">
                  <c:v>-875</c:v>
                </c:pt>
                <c:pt idx="272">
                  <c:v>2000</c:v>
                </c:pt>
              </c:numCache>
            </c:numRef>
          </c:val>
          <c:smooth val="0"/>
          <c:extLst>
            <c:ext xmlns:c16="http://schemas.microsoft.com/office/drawing/2014/chart" uri="{C3380CC4-5D6E-409C-BE32-E72D297353CC}">
              <c16:uniqueId val="{00000000-1DEB-4D68-84D9-C3933BCA96DE}"/>
            </c:ext>
          </c:extLst>
        </c:ser>
        <c:dLbls>
          <c:showLegendKey val="0"/>
          <c:showVal val="0"/>
          <c:showCatName val="0"/>
          <c:showSerName val="0"/>
          <c:showPercent val="0"/>
          <c:showBubbleSize val="0"/>
        </c:dLbls>
        <c:smooth val="0"/>
        <c:axId val="571890640"/>
        <c:axId val="571889200"/>
      </c:lineChart>
      <c:catAx>
        <c:axId val="57189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89200"/>
        <c:crosses val="autoZero"/>
        <c:auto val="1"/>
        <c:lblAlgn val="ctr"/>
        <c:lblOffset val="100"/>
        <c:noMultiLvlLbl val="0"/>
      </c:catAx>
      <c:valAx>
        <c:axId val="571889200"/>
        <c:scaling>
          <c:orientation val="minMax"/>
        </c:scaling>
        <c:delete val="1"/>
        <c:axPos val="l"/>
        <c:numFmt formatCode="General" sourceLinked="1"/>
        <c:majorTickMark val="out"/>
        <c:minorTickMark val="none"/>
        <c:tickLblPos val="nextTo"/>
        <c:crossAx val="57189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3" Type="http://schemas.openxmlformats.org/officeDocument/2006/relationships/image" Target="../media/image4.jpeg"/><Relationship Id="rId7" Type="http://schemas.openxmlformats.org/officeDocument/2006/relationships/image" Target="../media/image6.png"/><Relationship Id="rId12" Type="http://schemas.openxmlformats.org/officeDocument/2006/relationships/image" Target="../media/image11.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7.xml"/><Relationship Id="rId11" Type="http://schemas.openxmlformats.org/officeDocument/2006/relationships/image" Target="../media/image10.png"/><Relationship Id="rId5" Type="http://schemas.openxmlformats.org/officeDocument/2006/relationships/chart" Target="../charts/chart6.xml"/><Relationship Id="rId10" Type="http://schemas.openxmlformats.org/officeDocument/2006/relationships/image" Target="../media/image9.svg"/><Relationship Id="rId4" Type="http://schemas.openxmlformats.org/officeDocument/2006/relationships/image" Target="../media/image5.jpeg"/><Relationship Id="rId9" Type="http://schemas.openxmlformats.org/officeDocument/2006/relationships/image" Target="../media/image8.png"/><Relationship Id="rId14" Type="http://schemas.openxmlformats.org/officeDocument/2006/relationships/image" Target="../media/image13.svg"/></Relationships>
</file>

<file path=xl/drawings/drawing1.xml><?xml version="1.0" encoding="utf-8"?>
<xdr:wsDr xmlns:xdr="http://schemas.openxmlformats.org/drawingml/2006/spreadsheetDrawing" xmlns:a="http://schemas.openxmlformats.org/drawingml/2006/main">
  <xdr:twoCellAnchor editAs="oneCell">
    <xdr:from>
      <xdr:col>2</xdr:col>
      <xdr:colOff>1003300</xdr:colOff>
      <xdr:row>1</xdr:row>
      <xdr:rowOff>82550</xdr:rowOff>
    </xdr:from>
    <xdr:to>
      <xdr:col>4</xdr:col>
      <xdr:colOff>88900</xdr:colOff>
      <xdr:row>22</xdr:row>
      <xdr:rowOff>67400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7B51E77-707D-4583-ED96-8749465E28B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49550" y="266700"/>
              <a:ext cx="1384300" cy="38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787400</xdr:colOff>
      <xdr:row>0</xdr:row>
      <xdr:rowOff>152400</xdr:rowOff>
    </xdr:from>
    <xdr:to>
      <xdr:col>9</xdr:col>
      <xdr:colOff>0</xdr:colOff>
      <xdr:row>19</xdr:row>
      <xdr:rowOff>133350</xdr:rowOff>
    </xdr:to>
    <xdr:graphicFrame macro="">
      <xdr:nvGraphicFramePr>
        <xdr:cNvPr id="5" name="Chart 4">
          <a:extLst>
            <a:ext uri="{FF2B5EF4-FFF2-40B4-BE49-F238E27FC236}">
              <a16:creationId xmlns:a16="http://schemas.microsoft.com/office/drawing/2014/main" id="{F1849077-97D0-322F-DC4D-C1E163A99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746125</xdr:colOff>
      <xdr:row>20</xdr:row>
      <xdr:rowOff>111125</xdr:rowOff>
    </xdr:from>
    <xdr:to>
      <xdr:col>8</xdr:col>
      <xdr:colOff>1076325</xdr:colOff>
      <xdr:row>35</xdr:row>
      <xdr:rowOff>92075</xdr:rowOff>
    </xdr:to>
    <xdr:graphicFrame macro="">
      <xdr:nvGraphicFramePr>
        <xdr:cNvPr id="6" name="Chart 5">
          <a:extLst>
            <a:ext uri="{FF2B5EF4-FFF2-40B4-BE49-F238E27FC236}">
              <a16:creationId xmlns:a16="http://schemas.microsoft.com/office/drawing/2014/main" id="{11453FBD-70A0-5922-3EB4-FA3A480AC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95250</xdr:colOff>
      <xdr:row>0</xdr:row>
      <xdr:rowOff>165100</xdr:rowOff>
    </xdr:from>
    <xdr:to>
      <xdr:col>10</xdr:col>
      <xdr:colOff>596900</xdr:colOff>
      <xdr:row>4</xdr:row>
      <xdr:rowOff>148500</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id="{21D7713B-D38D-B157-E4DA-9EEEAEFE3D26}"/>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9664700" y="165100"/>
              <a:ext cx="160655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222250</xdr:colOff>
      <xdr:row>5</xdr:row>
      <xdr:rowOff>158750</xdr:rowOff>
    </xdr:from>
    <xdr:to>
      <xdr:col>10</xdr:col>
      <xdr:colOff>381000</xdr:colOff>
      <xdr:row>9</xdr:row>
      <xdr:rowOff>133350</xdr:rowOff>
    </xdr:to>
    <mc:AlternateContent xmlns:mc="http://schemas.openxmlformats.org/markup-compatibility/2006" xmlns:a14="http://schemas.microsoft.com/office/drawing/2010/main">
      <mc:Choice Requires="a14">
        <xdr:graphicFrame macro="">
          <xdr:nvGraphicFramePr>
            <xdr:cNvPr id="4" name="Income/Expense">
              <a:extLst>
                <a:ext uri="{FF2B5EF4-FFF2-40B4-BE49-F238E27FC236}">
                  <a16:creationId xmlns:a16="http://schemas.microsoft.com/office/drawing/2014/main" id="{88D6A524-73A2-2CA0-FB2A-1E5EA995211C}"/>
                </a:ext>
              </a:extLst>
            </xdr:cNvPr>
            <xdr:cNvGraphicFramePr/>
          </xdr:nvGraphicFramePr>
          <xdr:xfrm>
            <a:off x="0" y="0"/>
            <a:ext cx="0" cy="0"/>
          </xdr:xfrm>
          <a:graphic>
            <a:graphicData uri="http://schemas.microsoft.com/office/drawing/2010/slicer">
              <sle:slicer xmlns:sle="http://schemas.microsoft.com/office/drawing/2010/slicer" name="Income/Expense"/>
            </a:graphicData>
          </a:graphic>
        </xdr:graphicFrame>
      </mc:Choice>
      <mc:Fallback xmlns="">
        <xdr:sp macro="" textlink="">
          <xdr:nvSpPr>
            <xdr:cNvPr id="0" name=""/>
            <xdr:cNvSpPr>
              <a:spLocks noTextEdit="1"/>
            </xdr:cNvSpPr>
          </xdr:nvSpPr>
          <xdr:spPr>
            <a:xfrm>
              <a:off x="9791700" y="1079500"/>
              <a:ext cx="1263650" cy="71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644525</xdr:colOff>
      <xdr:row>25</xdr:row>
      <xdr:rowOff>82550</xdr:rowOff>
    </xdr:from>
    <xdr:to>
      <xdr:col>3</xdr:col>
      <xdr:colOff>565150</xdr:colOff>
      <xdr:row>35</xdr:row>
      <xdr:rowOff>60324</xdr:rowOff>
    </xdr:to>
    <xdr:graphicFrame macro="">
      <xdr:nvGraphicFramePr>
        <xdr:cNvPr id="8" name="Chart 7">
          <a:extLst>
            <a:ext uri="{FF2B5EF4-FFF2-40B4-BE49-F238E27FC236}">
              <a16:creationId xmlns:a16="http://schemas.microsoft.com/office/drawing/2014/main" id="{AFFF568F-CE44-00BD-F68D-3903F3117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184150</xdr:colOff>
      <xdr:row>3</xdr:row>
      <xdr:rowOff>101600</xdr:rowOff>
    </xdr:from>
    <xdr:to>
      <xdr:col>16</xdr:col>
      <xdr:colOff>273050</xdr:colOff>
      <xdr:row>24</xdr:row>
      <xdr:rowOff>146050</xdr:rowOff>
    </xdr:to>
    <xdr:sp macro="" textlink="">
      <xdr:nvSpPr>
        <xdr:cNvPr id="2" name="Rectangle: Rounded Corners 1">
          <a:extLst>
            <a:ext uri="{FF2B5EF4-FFF2-40B4-BE49-F238E27FC236}">
              <a16:creationId xmlns:a16="http://schemas.microsoft.com/office/drawing/2014/main" id="{0A3E6DFA-EDA5-7AD3-EA98-26B6E01B92B5}"/>
            </a:ext>
          </a:extLst>
        </xdr:cNvPr>
        <xdr:cNvSpPr/>
      </xdr:nvSpPr>
      <xdr:spPr>
        <a:xfrm>
          <a:off x="2622550" y="654050"/>
          <a:ext cx="7404100" cy="391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330200</xdr:colOff>
      <xdr:row>3</xdr:row>
      <xdr:rowOff>165100</xdr:rowOff>
    </xdr:from>
    <xdr:to>
      <xdr:col>16</xdr:col>
      <xdr:colOff>209550</xdr:colOff>
      <xdr:row>24</xdr:row>
      <xdr:rowOff>25400</xdr:rowOff>
    </xdr:to>
    <xdr:sp macro="" textlink="">
      <xdr:nvSpPr>
        <xdr:cNvPr id="3" name="Rectangle: Rounded Corners 2">
          <a:extLst>
            <a:ext uri="{FF2B5EF4-FFF2-40B4-BE49-F238E27FC236}">
              <a16:creationId xmlns:a16="http://schemas.microsoft.com/office/drawing/2014/main" id="{2C527EA8-A20C-1028-A734-E0F8B0D19B24}"/>
            </a:ext>
          </a:extLst>
        </xdr:cNvPr>
        <xdr:cNvSpPr/>
      </xdr:nvSpPr>
      <xdr:spPr>
        <a:xfrm>
          <a:off x="3987800" y="717550"/>
          <a:ext cx="5975350" cy="372745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374650</xdr:colOff>
      <xdr:row>4</xdr:row>
      <xdr:rowOff>177800</xdr:rowOff>
    </xdr:from>
    <xdr:to>
      <xdr:col>6</xdr:col>
      <xdr:colOff>158750</xdr:colOff>
      <xdr:row>22</xdr:row>
      <xdr:rowOff>139700</xdr:rowOff>
    </xdr:to>
    <xdr:sp macro="" textlink="">
      <xdr:nvSpPr>
        <xdr:cNvPr id="4" name="Rectangle: Rounded Corners 3">
          <a:extLst>
            <a:ext uri="{FF2B5EF4-FFF2-40B4-BE49-F238E27FC236}">
              <a16:creationId xmlns:a16="http://schemas.microsoft.com/office/drawing/2014/main" id="{C0FAF3A4-E83D-BD14-D22E-473DFE536683}"/>
            </a:ext>
          </a:extLst>
        </xdr:cNvPr>
        <xdr:cNvSpPr/>
      </xdr:nvSpPr>
      <xdr:spPr>
        <a:xfrm>
          <a:off x="2813050" y="914400"/>
          <a:ext cx="1003300" cy="32766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xdr:colOff>
      <xdr:row>5</xdr:row>
      <xdr:rowOff>38100</xdr:rowOff>
    </xdr:from>
    <xdr:to>
      <xdr:col>12</xdr:col>
      <xdr:colOff>336550</xdr:colOff>
      <xdr:row>13</xdr:row>
      <xdr:rowOff>114300</xdr:rowOff>
    </xdr:to>
    <xdr:sp macro="" textlink="">
      <xdr:nvSpPr>
        <xdr:cNvPr id="5" name="Rectangle: Rounded Corners 4">
          <a:extLst>
            <a:ext uri="{FF2B5EF4-FFF2-40B4-BE49-F238E27FC236}">
              <a16:creationId xmlns:a16="http://schemas.microsoft.com/office/drawing/2014/main" id="{5628C808-2430-7332-7711-1FFC35E215B2}"/>
            </a:ext>
          </a:extLst>
        </xdr:cNvPr>
        <xdr:cNvSpPr/>
      </xdr:nvSpPr>
      <xdr:spPr>
        <a:xfrm>
          <a:off x="4286250" y="958850"/>
          <a:ext cx="3365500" cy="1549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5</xdr:row>
      <xdr:rowOff>50800</xdr:rowOff>
    </xdr:from>
    <xdr:to>
      <xdr:col>16</xdr:col>
      <xdr:colOff>88900</xdr:colOff>
      <xdr:row>14</xdr:row>
      <xdr:rowOff>57150</xdr:rowOff>
    </xdr:to>
    <xdr:sp macro="" textlink="">
      <xdr:nvSpPr>
        <xdr:cNvPr id="6" name="Rectangle: Rounded Corners 5">
          <a:extLst>
            <a:ext uri="{FF2B5EF4-FFF2-40B4-BE49-F238E27FC236}">
              <a16:creationId xmlns:a16="http://schemas.microsoft.com/office/drawing/2014/main" id="{2B7B4CC6-C0EF-CA39-D6FB-AC35D28D5D34}"/>
            </a:ext>
          </a:extLst>
        </xdr:cNvPr>
        <xdr:cNvSpPr/>
      </xdr:nvSpPr>
      <xdr:spPr>
        <a:xfrm>
          <a:off x="7924800" y="971550"/>
          <a:ext cx="1917700" cy="166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107950</xdr:colOff>
      <xdr:row>14</xdr:row>
      <xdr:rowOff>25400</xdr:rowOff>
    </xdr:from>
    <xdr:to>
      <xdr:col>12</xdr:col>
      <xdr:colOff>361950</xdr:colOff>
      <xdr:row>18</xdr:row>
      <xdr:rowOff>101600</xdr:rowOff>
    </xdr:to>
    <xdr:sp macro="" textlink="">
      <xdr:nvSpPr>
        <xdr:cNvPr id="7" name="Rectangle: Rounded Corners 6">
          <a:extLst>
            <a:ext uri="{FF2B5EF4-FFF2-40B4-BE49-F238E27FC236}">
              <a16:creationId xmlns:a16="http://schemas.microsoft.com/office/drawing/2014/main" id="{63E6E4F9-42DA-996D-6FE0-83743D3C9F36}"/>
            </a:ext>
          </a:extLst>
        </xdr:cNvPr>
        <xdr:cNvSpPr/>
      </xdr:nvSpPr>
      <xdr:spPr>
        <a:xfrm>
          <a:off x="4375150" y="2603500"/>
          <a:ext cx="3302000" cy="812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76200</xdr:colOff>
      <xdr:row>15</xdr:row>
      <xdr:rowOff>12700</xdr:rowOff>
    </xdr:from>
    <xdr:to>
      <xdr:col>15</xdr:col>
      <xdr:colOff>603250</xdr:colOff>
      <xdr:row>23</xdr:row>
      <xdr:rowOff>69850</xdr:rowOff>
    </xdr:to>
    <xdr:sp macro="" textlink="">
      <xdr:nvSpPr>
        <xdr:cNvPr id="8" name="Rectangle: Rounded Corners 7">
          <a:extLst>
            <a:ext uri="{FF2B5EF4-FFF2-40B4-BE49-F238E27FC236}">
              <a16:creationId xmlns:a16="http://schemas.microsoft.com/office/drawing/2014/main" id="{0EE923C4-4DBF-1B3F-F26D-712F591A03D9}"/>
            </a:ext>
          </a:extLst>
        </xdr:cNvPr>
        <xdr:cNvSpPr/>
      </xdr:nvSpPr>
      <xdr:spPr>
        <a:xfrm>
          <a:off x="8001000" y="2774950"/>
          <a:ext cx="1746250" cy="153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120650</xdr:colOff>
      <xdr:row>19</xdr:row>
      <xdr:rowOff>19050</xdr:rowOff>
    </xdr:from>
    <xdr:to>
      <xdr:col>12</xdr:col>
      <xdr:colOff>374650</xdr:colOff>
      <xdr:row>23</xdr:row>
      <xdr:rowOff>95250</xdr:rowOff>
    </xdr:to>
    <xdr:sp macro="" textlink="">
      <xdr:nvSpPr>
        <xdr:cNvPr id="9" name="Rectangle: Rounded Corners 8">
          <a:extLst>
            <a:ext uri="{FF2B5EF4-FFF2-40B4-BE49-F238E27FC236}">
              <a16:creationId xmlns:a16="http://schemas.microsoft.com/office/drawing/2014/main" id="{2B53AF15-C43C-4D3F-8055-1F419E800D68}"/>
            </a:ext>
          </a:extLst>
        </xdr:cNvPr>
        <xdr:cNvSpPr/>
      </xdr:nvSpPr>
      <xdr:spPr>
        <a:xfrm>
          <a:off x="4387850" y="3517900"/>
          <a:ext cx="3302000" cy="812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244954</xdr:colOff>
      <xdr:row>0</xdr:row>
      <xdr:rowOff>121781</xdr:rowOff>
    </xdr:from>
    <xdr:to>
      <xdr:col>5</xdr:col>
      <xdr:colOff>86986</xdr:colOff>
      <xdr:row>14</xdr:row>
      <xdr:rowOff>208575</xdr:rowOff>
    </xdr:to>
    <xdr:pic>
      <xdr:nvPicPr>
        <xdr:cNvPr id="3" name="Picture 2">
          <a:extLst>
            <a:ext uri="{FF2B5EF4-FFF2-40B4-BE49-F238E27FC236}">
              <a16:creationId xmlns:a16="http://schemas.microsoft.com/office/drawing/2014/main" id="{C666B0D9-2C07-3107-1807-83086E0235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954" y="121781"/>
          <a:ext cx="2886553" cy="2800265"/>
        </a:xfrm>
        <a:prstGeom prst="rect">
          <a:avLst/>
        </a:prstGeom>
      </xdr:spPr>
    </xdr:pic>
    <xdr:clientData/>
  </xdr:twoCellAnchor>
  <xdr:twoCellAnchor editAs="oneCell">
    <xdr:from>
      <xdr:col>7</xdr:col>
      <xdr:colOff>30552</xdr:colOff>
      <xdr:row>1</xdr:row>
      <xdr:rowOff>168904</xdr:rowOff>
    </xdr:from>
    <xdr:to>
      <xdr:col>10</xdr:col>
      <xdr:colOff>542140</xdr:colOff>
      <xdr:row>23</xdr:row>
      <xdr:rowOff>13161</xdr:rowOff>
    </xdr:to>
    <xdr:pic>
      <xdr:nvPicPr>
        <xdr:cNvPr id="2" name="Picture 1" descr="This may contain: some type of text that is on top of each other in different colors and sizes">
          <a:extLst>
            <a:ext uri="{FF2B5EF4-FFF2-40B4-BE49-F238E27FC236}">
              <a16:creationId xmlns:a16="http://schemas.microsoft.com/office/drawing/2014/main" id="{C9383A38-6408-474E-83CF-A0EBA7F989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4667" y="354519"/>
          <a:ext cx="2343319" cy="4118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128046</xdr:colOff>
      <xdr:row>3</xdr:row>
      <xdr:rowOff>39077</xdr:rowOff>
    </xdr:from>
    <xdr:to>
      <xdr:col>16</xdr:col>
      <xdr:colOff>128950</xdr:colOff>
      <xdr:row>20</xdr:row>
      <xdr:rowOff>83524</xdr:rowOff>
    </xdr:to>
    <xdr:pic>
      <xdr:nvPicPr>
        <xdr:cNvPr id="4" name="Picture 3" descr="This may contain: an orange is in the water with bubbles on it's side and other words below">
          <a:extLst>
            <a:ext uri="{FF2B5EF4-FFF2-40B4-BE49-F238E27FC236}">
              <a16:creationId xmlns:a16="http://schemas.microsoft.com/office/drawing/2014/main" id="{20A45025-7BBD-80A6-FFAE-CF53E91674B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25623" y="708269"/>
          <a:ext cx="1832635" cy="3278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20</xdr:col>
      <xdr:colOff>148950</xdr:colOff>
      <xdr:row>15</xdr:row>
      <xdr:rowOff>148950</xdr:rowOff>
    </xdr:from>
    <xdr:ext cx="184731" cy="264560"/>
    <xdr:sp macro="" textlink="">
      <xdr:nvSpPr>
        <xdr:cNvPr id="33" name="TextBox 32">
          <a:extLst>
            <a:ext uri="{FF2B5EF4-FFF2-40B4-BE49-F238E27FC236}">
              <a16:creationId xmlns:a16="http://schemas.microsoft.com/office/drawing/2014/main" id="{AD6CC516-9F6D-AA5A-9DF8-A2DCA461247F}"/>
            </a:ext>
          </a:extLst>
        </xdr:cNvPr>
        <xdr:cNvSpPr txBox="1"/>
      </xdr:nvSpPr>
      <xdr:spPr>
        <a:xfrm>
          <a:off x="12378580" y="2853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23519</xdr:colOff>
      <xdr:row>0</xdr:row>
      <xdr:rowOff>0</xdr:rowOff>
    </xdr:from>
    <xdr:to>
      <xdr:col>19</xdr:col>
      <xdr:colOff>192624</xdr:colOff>
      <xdr:row>35</xdr:row>
      <xdr:rowOff>1222</xdr:rowOff>
    </xdr:to>
    <xdr:grpSp>
      <xdr:nvGrpSpPr>
        <xdr:cNvPr id="74" name="Group 73">
          <a:extLst>
            <a:ext uri="{FF2B5EF4-FFF2-40B4-BE49-F238E27FC236}">
              <a16:creationId xmlns:a16="http://schemas.microsoft.com/office/drawing/2014/main" id="{B6FDBB2E-8D81-E7F7-6B42-888C3908A1C6}"/>
            </a:ext>
          </a:extLst>
        </xdr:cNvPr>
        <xdr:cNvGrpSpPr/>
      </xdr:nvGrpSpPr>
      <xdr:grpSpPr>
        <a:xfrm>
          <a:off x="23519" y="0"/>
          <a:ext cx="11751505" cy="6446472"/>
          <a:chOff x="23519" y="0"/>
          <a:chExt cx="11770067" cy="6554748"/>
        </a:xfrm>
      </xdr:grpSpPr>
      <xdr:grpSp>
        <xdr:nvGrpSpPr>
          <xdr:cNvPr id="62" name="Group 61">
            <a:extLst>
              <a:ext uri="{FF2B5EF4-FFF2-40B4-BE49-F238E27FC236}">
                <a16:creationId xmlns:a16="http://schemas.microsoft.com/office/drawing/2014/main" id="{A804169B-AFE7-F6D9-FF8E-1C7A39E50B82}"/>
              </a:ext>
            </a:extLst>
          </xdr:cNvPr>
          <xdr:cNvGrpSpPr/>
        </xdr:nvGrpSpPr>
        <xdr:grpSpPr>
          <a:xfrm>
            <a:off x="23519" y="0"/>
            <a:ext cx="11770067" cy="6554748"/>
            <a:chOff x="23519" y="0"/>
            <a:chExt cx="11736579" cy="6415464"/>
          </a:xfrm>
        </xdr:grpSpPr>
        <xdr:grpSp>
          <xdr:nvGrpSpPr>
            <xdr:cNvPr id="60" name="Group 59">
              <a:extLst>
                <a:ext uri="{FF2B5EF4-FFF2-40B4-BE49-F238E27FC236}">
                  <a16:creationId xmlns:a16="http://schemas.microsoft.com/office/drawing/2014/main" id="{461F39D6-1183-A817-ED48-BD2F455C0F9E}"/>
                </a:ext>
              </a:extLst>
            </xdr:cNvPr>
            <xdr:cNvGrpSpPr/>
          </xdr:nvGrpSpPr>
          <xdr:grpSpPr>
            <a:xfrm>
              <a:off x="23519" y="0"/>
              <a:ext cx="11736579" cy="6415464"/>
              <a:chOff x="23519" y="0"/>
              <a:chExt cx="11703775" cy="6350000"/>
            </a:xfrm>
          </xdr:grpSpPr>
          <xdr:grpSp>
            <xdr:nvGrpSpPr>
              <xdr:cNvPr id="57" name="Group 56">
                <a:extLst>
                  <a:ext uri="{FF2B5EF4-FFF2-40B4-BE49-F238E27FC236}">
                    <a16:creationId xmlns:a16="http://schemas.microsoft.com/office/drawing/2014/main" id="{393744C9-CC37-8EE8-8316-48C15F5F2D0E}"/>
                  </a:ext>
                </a:extLst>
              </xdr:cNvPr>
              <xdr:cNvGrpSpPr/>
            </xdr:nvGrpSpPr>
            <xdr:grpSpPr>
              <a:xfrm>
                <a:off x="23519" y="0"/>
                <a:ext cx="11703775" cy="6350000"/>
                <a:chOff x="23519" y="0"/>
                <a:chExt cx="11685696" cy="6566477"/>
              </a:xfrm>
            </xdr:grpSpPr>
            <xdr:grpSp>
              <xdr:nvGrpSpPr>
                <xdr:cNvPr id="43" name="Group 42">
                  <a:extLst>
                    <a:ext uri="{FF2B5EF4-FFF2-40B4-BE49-F238E27FC236}">
                      <a16:creationId xmlns:a16="http://schemas.microsoft.com/office/drawing/2014/main" id="{B3567046-C994-9C01-4873-B127AE9EC3E1}"/>
                    </a:ext>
                  </a:extLst>
                </xdr:cNvPr>
                <xdr:cNvGrpSpPr/>
              </xdr:nvGrpSpPr>
              <xdr:grpSpPr>
                <a:xfrm>
                  <a:off x="23519" y="0"/>
                  <a:ext cx="11685696" cy="6566477"/>
                  <a:chOff x="23519" y="0"/>
                  <a:chExt cx="11787253" cy="6310802"/>
                </a:xfrm>
              </xdr:grpSpPr>
              <xdr:grpSp>
                <xdr:nvGrpSpPr>
                  <xdr:cNvPr id="26" name="Group 25">
                    <a:extLst>
                      <a:ext uri="{FF2B5EF4-FFF2-40B4-BE49-F238E27FC236}">
                        <a16:creationId xmlns:a16="http://schemas.microsoft.com/office/drawing/2014/main" id="{F4A42DB4-E7B7-0D31-3E18-93C3761F5ED1}"/>
                      </a:ext>
                    </a:extLst>
                  </xdr:cNvPr>
                  <xdr:cNvGrpSpPr/>
                </xdr:nvGrpSpPr>
                <xdr:grpSpPr>
                  <a:xfrm>
                    <a:off x="23519" y="0"/>
                    <a:ext cx="11787253" cy="6310802"/>
                    <a:chOff x="23519" y="0"/>
                    <a:chExt cx="11813233" cy="6460756"/>
                  </a:xfrm>
                </xdr:grpSpPr>
                <xdr:grpSp>
                  <xdr:nvGrpSpPr>
                    <xdr:cNvPr id="32" name="Group 31">
                      <a:extLst>
                        <a:ext uri="{FF2B5EF4-FFF2-40B4-BE49-F238E27FC236}">
                          <a16:creationId xmlns:a16="http://schemas.microsoft.com/office/drawing/2014/main" id="{7E3E1801-0FCF-9AD0-5A84-6705B1944CB8}"/>
                        </a:ext>
                      </a:extLst>
                    </xdr:cNvPr>
                    <xdr:cNvGrpSpPr/>
                  </xdr:nvGrpSpPr>
                  <xdr:grpSpPr>
                    <a:xfrm>
                      <a:off x="23519" y="0"/>
                      <a:ext cx="11813233" cy="6460756"/>
                      <a:chOff x="23519" y="0"/>
                      <a:chExt cx="11775940" cy="6470570"/>
                    </a:xfrm>
                  </xdr:grpSpPr>
                  <xdr:grpSp>
                    <xdr:nvGrpSpPr>
                      <xdr:cNvPr id="5" name="Group 4">
                        <a:extLst>
                          <a:ext uri="{FF2B5EF4-FFF2-40B4-BE49-F238E27FC236}">
                            <a16:creationId xmlns:a16="http://schemas.microsoft.com/office/drawing/2014/main" id="{F3EB833F-C7F5-AAFA-85B9-8275033F5F5E}"/>
                          </a:ext>
                        </a:extLst>
                      </xdr:cNvPr>
                      <xdr:cNvGrpSpPr/>
                    </xdr:nvGrpSpPr>
                    <xdr:grpSpPr>
                      <a:xfrm>
                        <a:off x="23519" y="0"/>
                        <a:ext cx="11775940" cy="6470570"/>
                        <a:chOff x="23519" y="0"/>
                        <a:chExt cx="11765561" cy="6473301"/>
                      </a:xfrm>
                    </xdr:grpSpPr>
                    <xdr:grpSp>
                      <xdr:nvGrpSpPr>
                        <xdr:cNvPr id="23" name="Group 22">
                          <a:extLst>
                            <a:ext uri="{FF2B5EF4-FFF2-40B4-BE49-F238E27FC236}">
                              <a16:creationId xmlns:a16="http://schemas.microsoft.com/office/drawing/2014/main" id="{BD4C741D-FCFA-1383-81D0-842C4FAFB50A}"/>
                            </a:ext>
                          </a:extLst>
                        </xdr:cNvPr>
                        <xdr:cNvGrpSpPr/>
                      </xdr:nvGrpSpPr>
                      <xdr:grpSpPr>
                        <a:xfrm>
                          <a:off x="23519" y="0"/>
                          <a:ext cx="11765561" cy="6473301"/>
                          <a:chOff x="0" y="8247"/>
                          <a:chExt cx="11717034" cy="6350000"/>
                        </a:xfrm>
                      </xdr:grpSpPr>
                      <xdr:grpSp>
                        <xdr:nvGrpSpPr>
                          <xdr:cNvPr id="21" name="Group 20">
                            <a:extLst>
                              <a:ext uri="{FF2B5EF4-FFF2-40B4-BE49-F238E27FC236}">
                                <a16:creationId xmlns:a16="http://schemas.microsoft.com/office/drawing/2014/main" id="{C75F4584-D558-71C9-1DEF-E624FEB909C8}"/>
                              </a:ext>
                            </a:extLst>
                          </xdr:cNvPr>
                          <xdr:cNvGrpSpPr/>
                        </xdr:nvGrpSpPr>
                        <xdr:grpSpPr>
                          <a:xfrm>
                            <a:off x="0" y="8247"/>
                            <a:ext cx="11717034" cy="6350000"/>
                            <a:chOff x="0" y="8247"/>
                            <a:chExt cx="11709540" cy="6442029"/>
                          </a:xfrm>
                        </xdr:grpSpPr>
                        <xdr:grpSp>
                          <xdr:nvGrpSpPr>
                            <xdr:cNvPr id="6" name="Group 5">
                              <a:extLst>
                                <a:ext uri="{FF2B5EF4-FFF2-40B4-BE49-F238E27FC236}">
                                  <a16:creationId xmlns:a16="http://schemas.microsoft.com/office/drawing/2014/main" id="{19D409AB-2051-8943-379E-4204E6A3C5DC}"/>
                                </a:ext>
                              </a:extLst>
                            </xdr:cNvPr>
                            <xdr:cNvGrpSpPr/>
                          </xdr:nvGrpSpPr>
                          <xdr:grpSpPr>
                            <a:xfrm>
                              <a:off x="0" y="8247"/>
                              <a:ext cx="11491843" cy="6442029"/>
                              <a:chOff x="0" y="8247"/>
                              <a:chExt cx="11543475" cy="6350000"/>
                            </a:xfrm>
                          </xdr:grpSpPr>
                          <xdr:sp macro="" textlink="">
                            <xdr:nvSpPr>
                              <xdr:cNvPr id="2" name="Rectangle: Rounded Corners 1">
                                <a:extLst>
                                  <a:ext uri="{FF2B5EF4-FFF2-40B4-BE49-F238E27FC236}">
                                    <a16:creationId xmlns:a16="http://schemas.microsoft.com/office/drawing/2014/main" id="{2283BB1D-DD9D-4F37-9071-BEAE616C8C5C}"/>
                                  </a:ext>
                                </a:extLst>
                              </xdr:cNvPr>
                              <xdr:cNvSpPr/>
                            </xdr:nvSpPr>
                            <xdr:spPr>
                              <a:xfrm>
                                <a:off x="0" y="8247"/>
                                <a:ext cx="11543475" cy="6350000"/>
                              </a:xfrm>
                              <a:prstGeom prst="roundRect">
                                <a:avLst>
                                  <a:gd name="adj" fmla="val 3420"/>
                                </a:avLst>
                              </a:prstGeom>
                              <a:gradFill>
                                <a:gsLst>
                                  <a:gs pos="0">
                                    <a:srgbClr val="093A3E"/>
                                  </a:gs>
                                  <a:gs pos="100000">
                                    <a:srgbClr val="093A3E"/>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1779FDEF-A96F-5A18-B23A-97AF0E1D73ED}"/>
                                  </a:ext>
                                </a:extLst>
                              </xdr:cNvPr>
                              <xdr:cNvSpPr/>
                            </xdr:nvSpPr>
                            <xdr:spPr>
                              <a:xfrm>
                                <a:off x="2066842" y="104390"/>
                                <a:ext cx="9334580" cy="6157715"/>
                              </a:xfrm>
                              <a:prstGeom prst="roundRect">
                                <a:avLst>
                                  <a:gd name="adj" fmla="val 4226"/>
                                </a:avLst>
                              </a:prstGeom>
                              <a:gradFill flip="none" rotWithShape="1">
                                <a:gsLst>
                                  <a:gs pos="0">
                                    <a:schemeClr val="accent1">
                                      <a:lumMod val="5000"/>
                                      <a:lumOff val="95000"/>
                                    </a:schemeClr>
                                  </a:gs>
                                  <a:gs pos="89000">
                                    <a:srgbClr val="E8F5EE"/>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 name="Rectangle: Rounded Corners 3">
                              <a:extLst>
                                <a:ext uri="{FF2B5EF4-FFF2-40B4-BE49-F238E27FC236}">
                                  <a16:creationId xmlns:a16="http://schemas.microsoft.com/office/drawing/2014/main" id="{10242A7F-FC03-47E4-8D9D-7BC8D1F1E9A8}"/>
                                </a:ext>
                              </a:extLst>
                            </xdr:cNvPr>
                            <xdr:cNvSpPr/>
                          </xdr:nvSpPr>
                          <xdr:spPr>
                            <a:xfrm>
                              <a:off x="2234512" y="766470"/>
                              <a:ext cx="5985555" cy="2702083"/>
                            </a:xfrm>
                            <a:prstGeom prst="roundRect">
                              <a:avLst>
                                <a:gd name="adj" fmla="val 70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3EA5852-5E30-4AA0-8FB4-C13AEF647E88}"/>
                                </a:ext>
                              </a:extLst>
                            </xdr:cNvPr>
                            <xdr:cNvSpPr/>
                          </xdr:nvSpPr>
                          <xdr:spPr>
                            <a:xfrm>
                              <a:off x="8401494" y="748327"/>
                              <a:ext cx="2763548" cy="1870818"/>
                            </a:xfrm>
                            <a:prstGeom prst="roundRect">
                              <a:avLst>
                                <a:gd name="adj" fmla="val 70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07064C8-4D5A-486E-8BCE-1BF51681C2EC}"/>
                                </a:ext>
                              </a:extLst>
                            </xdr:cNvPr>
                            <xdr:cNvSpPr/>
                          </xdr:nvSpPr>
                          <xdr:spPr>
                            <a:xfrm>
                              <a:off x="8407974" y="2746145"/>
                              <a:ext cx="2763548" cy="693898"/>
                            </a:xfrm>
                            <a:prstGeom prst="roundRect">
                              <a:avLst>
                                <a:gd name="adj" fmla="val 305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C7BDB28-E54F-4ABC-8ECE-8FF44E55C701}"/>
                                </a:ext>
                              </a:extLst>
                            </xdr:cNvPr>
                            <xdr:cNvSpPr/>
                          </xdr:nvSpPr>
                          <xdr:spPr>
                            <a:xfrm>
                              <a:off x="2226293" y="3594726"/>
                              <a:ext cx="1960493" cy="780548"/>
                            </a:xfrm>
                            <a:prstGeom prst="roundRect">
                              <a:avLst>
                                <a:gd name="adj" fmla="val 211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7553676-72BA-40BE-B761-CF6CA7A673A5}"/>
                                </a:ext>
                              </a:extLst>
                            </xdr:cNvPr>
                            <xdr:cNvSpPr/>
                          </xdr:nvSpPr>
                          <xdr:spPr>
                            <a:xfrm>
                              <a:off x="4313645" y="3594727"/>
                              <a:ext cx="1960493" cy="781173"/>
                            </a:xfrm>
                            <a:prstGeom prst="roundRect">
                              <a:avLst>
                                <a:gd name="adj" fmla="val 211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1BF0948C-11D9-48ED-859B-106CC34E192C}"/>
                                </a:ext>
                              </a:extLst>
                            </xdr:cNvPr>
                            <xdr:cNvSpPr/>
                          </xdr:nvSpPr>
                          <xdr:spPr>
                            <a:xfrm>
                              <a:off x="6461005" y="3616630"/>
                              <a:ext cx="4704037" cy="2518106"/>
                            </a:xfrm>
                            <a:prstGeom prst="roundRect">
                              <a:avLst>
                                <a:gd name="adj" fmla="val 111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B91D1F7E-D1FB-45A1-8955-5495A5B09406}"/>
                                </a:ext>
                              </a:extLst>
                            </xdr:cNvPr>
                            <xdr:cNvSpPr/>
                          </xdr:nvSpPr>
                          <xdr:spPr>
                            <a:xfrm>
                              <a:off x="2239458" y="4496010"/>
                              <a:ext cx="4053124" cy="764808"/>
                            </a:xfrm>
                            <a:prstGeom prst="roundRect">
                              <a:avLst>
                                <a:gd name="adj" fmla="val 24817"/>
                              </a:avLst>
                            </a:prstGeom>
                            <a:solidFill>
                              <a:srgbClr val="0932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3495D605-035B-4D28-96FB-A634A24728A9}"/>
                                </a:ext>
                              </a:extLst>
                            </xdr:cNvPr>
                            <xdr:cNvSpPr/>
                          </xdr:nvSpPr>
                          <xdr:spPr>
                            <a:xfrm>
                              <a:off x="2233107" y="5368513"/>
                              <a:ext cx="4053124" cy="768268"/>
                            </a:xfrm>
                            <a:prstGeom prst="roundRect">
                              <a:avLst>
                                <a:gd name="adj" fmla="val 21782"/>
                              </a:avLst>
                            </a:prstGeom>
                            <a:solidFill>
                              <a:srgbClr val="C5E5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AA26E430-20E6-4026-8527-FBFC2A06EEC2}"/>
                                </a:ext>
                              </a:extLst>
                            </xdr:cNvPr>
                            <xdr:cNvSpPr txBox="1"/>
                          </xdr:nvSpPr>
                          <xdr:spPr>
                            <a:xfrm>
                              <a:off x="2164399" y="199737"/>
                              <a:ext cx="1829364" cy="43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200" b="1">
                                  <a:latin typeface="Aptos" panose="020B0004020202020204" pitchFamily="34" charset="0"/>
                                  <a:cs typeface="Aharoni" panose="02010803020104030203" pitchFamily="2" charset="-79"/>
                                </a:rPr>
                                <a:t>Dashboard</a:t>
                              </a:r>
                            </a:p>
                          </xdr:txBody>
                        </xdr:sp>
                        <xdr:grpSp>
                          <xdr:nvGrpSpPr>
                            <xdr:cNvPr id="19" name="Group 18">
                              <a:extLst>
                                <a:ext uri="{FF2B5EF4-FFF2-40B4-BE49-F238E27FC236}">
                                  <a16:creationId xmlns:a16="http://schemas.microsoft.com/office/drawing/2014/main" id="{51AA00CA-5B6A-5235-45E4-DA64A5364328}"/>
                                </a:ext>
                              </a:extLst>
                            </xdr:cNvPr>
                            <xdr:cNvGrpSpPr/>
                          </xdr:nvGrpSpPr>
                          <xdr:grpSpPr>
                            <a:xfrm>
                              <a:off x="9678986" y="209262"/>
                              <a:ext cx="2030554" cy="435681"/>
                              <a:chOff x="9678986" y="207421"/>
                              <a:chExt cx="2030554" cy="432000"/>
                            </a:xfrm>
                          </xdr:grpSpPr>
                          <xdr:sp macro="" textlink="">
                            <xdr:nvSpPr>
                              <xdr:cNvPr id="17" name="Rectangle: Rounded Corners 16">
                                <a:extLst>
                                  <a:ext uri="{FF2B5EF4-FFF2-40B4-BE49-F238E27FC236}">
                                    <a16:creationId xmlns:a16="http://schemas.microsoft.com/office/drawing/2014/main" id="{F2928CBD-873A-40DF-BB07-D4E33874FC47}"/>
                                  </a:ext>
                                </a:extLst>
                              </xdr:cNvPr>
                              <xdr:cNvSpPr/>
                            </xdr:nvSpPr>
                            <xdr:spPr>
                              <a:xfrm>
                                <a:off x="9681631" y="207421"/>
                                <a:ext cx="1488856" cy="432000"/>
                              </a:xfrm>
                              <a:prstGeom prst="roundRect">
                                <a:avLst>
                                  <a:gd name="adj" fmla="val 44532"/>
                                </a:avLst>
                              </a:prstGeom>
                              <a:solidFill>
                                <a:srgbClr val="0422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727792DB-B138-465C-98F4-AE20F017742E}"/>
                                  </a:ext>
                                </a:extLst>
                              </xdr:cNvPr>
                              <xdr:cNvSpPr txBox="1"/>
                            </xdr:nvSpPr>
                            <xdr:spPr>
                              <a:xfrm>
                                <a:off x="9678986" y="242799"/>
                                <a:ext cx="2030554" cy="3471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latin typeface="+mn-lt"/>
                                  </a:rPr>
                                  <a:t>Personal</a:t>
                                </a:r>
                                <a:r>
                                  <a:rPr lang="en-IN" sz="1600" b="1">
                                    <a:solidFill>
                                      <a:schemeClr val="bg1"/>
                                    </a:solidFill>
                                    <a:latin typeface="+mn-lt"/>
                                  </a:rPr>
                                  <a:t> </a:t>
                                </a:r>
                                <a:r>
                                  <a:rPr lang="en-IN" sz="1400" b="1">
                                    <a:solidFill>
                                      <a:schemeClr val="bg1"/>
                                    </a:solidFill>
                                    <a:latin typeface="+mn-lt"/>
                                  </a:rPr>
                                  <a:t>Expence</a:t>
                                </a:r>
                                <a:endParaRPr lang="en-IN" sz="1600" b="1">
                                  <a:solidFill>
                                    <a:schemeClr val="bg1"/>
                                  </a:solidFill>
                                  <a:latin typeface="+mn-lt"/>
                                </a:endParaRPr>
                              </a:p>
                            </xdr:txBody>
                          </xdr:sp>
                        </xdr:grpSp>
                      </xdr:grpSp>
                      <xdr:sp macro="" textlink="">
                        <xdr:nvSpPr>
                          <xdr:cNvPr id="10" name="Rectangle: Rounded Corners 9">
                            <a:extLst>
                              <a:ext uri="{FF2B5EF4-FFF2-40B4-BE49-F238E27FC236}">
                                <a16:creationId xmlns:a16="http://schemas.microsoft.com/office/drawing/2014/main" id="{82DEA43F-973C-4B23-B613-05BC835F5487}"/>
                              </a:ext>
                            </a:extLst>
                          </xdr:cNvPr>
                          <xdr:cNvSpPr/>
                        </xdr:nvSpPr>
                        <xdr:spPr>
                          <a:xfrm>
                            <a:off x="141111" y="97011"/>
                            <a:ext cx="1840995" cy="6171488"/>
                          </a:xfrm>
                          <a:prstGeom prst="roundRect">
                            <a:avLst>
                              <a:gd name="adj" fmla="val 9876"/>
                            </a:avLst>
                          </a:prstGeom>
                          <a:solidFill>
                            <a:srgbClr val="F4F8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33B15A9C-D8F4-47C6-BA92-1BA505EAAEDF}"/>
                                  </a:ext>
                                </a:extLst>
                              </xdr:cNvPr>
                              <xdr:cNvGraphicFramePr/>
                            </xdr:nvGraphicFramePr>
                            <xdr:xfrm>
                              <a:off x="171442" y="295280"/>
                              <a:ext cx="1776758" cy="3839702"/>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5737" y="296288"/>
                                <a:ext cx="1784800" cy="3963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2" name="Chart 21">
                            <a:extLst>
                              <a:ext uri="{FF2B5EF4-FFF2-40B4-BE49-F238E27FC236}">
                                <a16:creationId xmlns:a16="http://schemas.microsoft.com/office/drawing/2014/main" id="{8F146D9B-D3B7-440F-87F8-8FDF9DBFBA73}"/>
                              </a:ext>
                            </a:extLst>
                          </xdr:cNvPr>
                          <xdr:cNvGraphicFramePr>
                            <a:graphicFrameLocks/>
                          </xdr:cNvGraphicFramePr>
                        </xdr:nvGraphicFramePr>
                        <xdr:xfrm>
                          <a:off x="8343790" y="672568"/>
                          <a:ext cx="2872212" cy="2105021"/>
                        </xdr:xfrm>
                        <a:graphic>
                          <a:graphicData uri="http://schemas.openxmlformats.org/drawingml/2006/chart">
                            <c:chart xmlns:c="http://schemas.openxmlformats.org/drawingml/2006/chart" xmlns:r="http://schemas.openxmlformats.org/officeDocument/2006/relationships" r:id="rId1"/>
                          </a:graphicData>
                        </a:graphic>
                      </xdr:graphicFrame>
                    </xdr:grpSp>
                    <xdr:graphicFrame macro="">
                      <xdr:nvGraphicFramePr>
                        <xdr:cNvPr id="24" name="Chart 23">
                          <a:extLst>
                            <a:ext uri="{FF2B5EF4-FFF2-40B4-BE49-F238E27FC236}">
                              <a16:creationId xmlns:a16="http://schemas.microsoft.com/office/drawing/2014/main" id="{752E4F0D-767F-4D8C-8D0B-BB11E278A682}"/>
                            </a:ext>
                          </a:extLst>
                        </xdr:cNvPr>
                        <xdr:cNvGraphicFramePr>
                          <a:graphicFrameLocks/>
                        </xdr:cNvGraphicFramePr>
                      </xdr:nvGraphicFramePr>
                      <xdr:xfrm>
                        <a:off x="2359249" y="767903"/>
                        <a:ext cx="5867423" cy="3052143"/>
                      </xdr:xfrm>
                      <a:graphic>
                        <a:graphicData uri="http://schemas.openxmlformats.org/drawingml/2006/chart">
                          <c:chart xmlns:c="http://schemas.openxmlformats.org/drawingml/2006/chart" xmlns:r="http://schemas.openxmlformats.org/officeDocument/2006/relationships" r:id="rId2"/>
                        </a:graphicData>
                      </a:graphic>
                    </xdr:graphicFrame>
                  </xdr:grpSp>
                  <mc:AlternateContent xmlns:mc="http://schemas.openxmlformats.org/markup-compatibility/2006" xmlns:a14="http://schemas.microsoft.com/office/drawing/2010/main">
                    <mc:Choice Requires="a14">
                      <xdr:graphicFrame macro="">
                        <xdr:nvGraphicFramePr>
                          <xdr:cNvPr id="20" name="Income/Expense 1">
                            <a:extLst>
                              <a:ext uri="{FF2B5EF4-FFF2-40B4-BE49-F238E27FC236}">
                                <a16:creationId xmlns:a16="http://schemas.microsoft.com/office/drawing/2014/main" id="{A224D74C-D9EC-4297-90F7-E94EE61C15D3}"/>
                              </a:ext>
                            </a:extLst>
                          </xdr:cNvPr>
                          <xdr:cNvGraphicFramePr/>
                        </xdr:nvGraphicFramePr>
                        <xdr:xfrm>
                          <a:off x="2415096" y="3639593"/>
                          <a:ext cx="1736711" cy="733671"/>
                        </xdr:xfrm>
                        <a:graphic>
                          <a:graphicData uri="http://schemas.microsoft.com/office/drawing/2010/slicer">
                            <sle:slicer xmlns:sle="http://schemas.microsoft.com/office/drawing/2010/slicer" name="Income/Expense 1"/>
                          </a:graphicData>
                        </a:graphic>
                      </xdr:graphicFrame>
                    </mc:Choice>
                    <mc:Fallback xmlns="">
                      <xdr:sp macro="" textlink="">
                        <xdr:nvSpPr>
                          <xdr:cNvPr id="0" name=""/>
                          <xdr:cNvSpPr>
                            <a:spLocks noTextEdit="1"/>
                          </xdr:cNvSpPr>
                        </xdr:nvSpPr>
                        <xdr:spPr>
                          <a:xfrm>
                            <a:off x="2413903" y="3686942"/>
                            <a:ext cx="1735845" cy="743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Account 1">
                            <a:extLst>
                              <a:ext uri="{FF2B5EF4-FFF2-40B4-BE49-F238E27FC236}">
                                <a16:creationId xmlns:a16="http://schemas.microsoft.com/office/drawing/2014/main" id="{AC3381E0-53AD-41FB-A41D-40CBDDAC1CF4}"/>
                              </a:ext>
                            </a:extLst>
                          </xdr:cNvPr>
                          <xdr:cNvGraphicFramePr/>
                        </xdr:nvGraphicFramePr>
                        <xdr:xfrm>
                          <a:off x="4458435" y="3640423"/>
                          <a:ext cx="1778693" cy="718698"/>
                        </xdr:xfrm>
                        <a:graphic>
                          <a:graphicData uri="http://schemas.microsoft.com/office/drawing/2010/slicer">
                            <sle:slicer xmlns:sle="http://schemas.microsoft.com/office/drawing/2010/slicer" name="Account 1"/>
                          </a:graphicData>
                        </a:graphic>
                      </xdr:graphicFrame>
                    </mc:Choice>
                    <mc:Fallback xmlns="">
                      <xdr:sp macro="" textlink="">
                        <xdr:nvSpPr>
                          <xdr:cNvPr id="0" name=""/>
                          <xdr:cNvSpPr>
                            <a:spLocks noTextEdit="1"/>
                          </xdr:cNvSpPr>
                        </xdr:nvSpPr>
                        <xdr:spPr>
                          <a:xfrm>
                            <a:off x="4456223" y="3687783"/>
                            <a:ext cx="1777806" cy="728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0" name="Picture 29" descr="This may contain: green leaves are lit up in the dark">
                        <a:extLst>
                          <a:ext uri="{FF2B5EF4-FFF2-40B4-BE49-F238E27FC236}">
                            <a16:creationId xmlns:a16="http://schemas.microsoft.com/office/drawing/2014/main" id="{A74E4F93-0152-4DB2-8D5B-00693843C831}"/>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9981" b="40124"/>
                      <a:stretch>
                        <a:fillRect/>
                      </a:stretch>
                    </xdr:blipFill>
                    <xdr:spPr bwMode="auto">
                      <a:xfrm>
                        <a:off x="8500785" y="2768824"/>
                        <a:ext cx="2734017" cy="657934"/>
                      </a:xfrm>
                      <a:prstGeom prst="roundRect">
                        <a:avLst>
                          <a:gd name="adj" fmla="val 30377"/>
                        </a:avLst>
                      </a:prstGeom>
                      <a:noFill/>
                      <a:extLst>
                        <a:ext uri="{909E8E84-426E-40DD-AFC4-6F175D3DCCD1}">
                          <a14:hiddenFill xmlns:a14="http://schemas.microsoft.com/office/drawing/2010/main">
                            <a:solidFill>
                              <a:srgbClr val="FFFFFF"/>
                            </a:solidFill>
                          </a14:hiddenFill>
                        </a:ext>
                      </a:extLst>
                    </xdr:spPr>
                  </xdr:pic>
                  <xdr:sp macro="" textlink="">
                    <xdr:nvSpPr>
                      <xdr:cNvPr id="31" name="TextBox 30">
                        <a:extLst>
                          <a:ext uri="{FF2B5EF4-FFF2-40B4-BE49-F238E27FC236}">
                            <a16:creationId xmlns:a16="http://schemas.microsoft.com/office/drawing/2014/main" id="{8A4B3997-7F31-4830-9C94-E9A4700AA687}"/>
                          </a:ext>
                        </a:extLst>
                      </xdr:cNvPr>
                      <xdr:cNvSpPr txBox="1"/>
                    </xdr:nvSpPr>
                    <xdr:spPr>
                      <a:xfrm>
                        <a:off x="8713167" y="2797216"/>
                        <a:ext cx="2322974" cy="72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chemeClr val="bg1"/>
                            </a:solidFill>
                            <a:latin typeface="Arial Rounded MT Bold" panose="020F0704030504030204" pitchFamily="34" charset="0"/>
                          </a:rPr>
                          <a:t>Expence</a:t>
                        </a:r>
                        <a:r>
                          <a:rPr lang="en-IN" sz="1400" baseline="0">
                            <a:solidFill>
                              <a:schemeClr val="bg1"/>
                            </a:solidFill>
                            <a:latin typeface="Arial Rounded MT Bold" panose="020F0704030504030204" pitchFamily="34" charset="0"/>
                          </a:rPr>
                          <a:t> Distributions of different </a:t>
                        </a:r>
                        <a:r>
                          <a:rPr lang="en-IN" sz="2000" baseline="0">
                            <a:solidFill>
                              <a:schemeClr val="bg1"/>
                            </a:solidFill>
                            <a:latin typeface="Arial Rounded MT Bold" panose="020F0704030504030204" pitchFamily="34" charset="0"/>
                          </a:rPr>
                          <a:t>categories </a:t>
                        </a:r>
                        <a:endParaRPr lang="en-IN" sz="2000">
                          <a:solidFill>
                            <a:schemeClr val="bg1"/>
                          </a:solidFill>
                          <a:latin typeface="Arial Rounded MT Bold" panose="020F0704030504030204" pitchFamily="34" charset="0"/>
                        </a:endParaRPr>
                      </a:p>
                    </xdr:txBody>
                  </xdr:sp>
                </xdr:grpSp>
                <xdr:pic>
                  <xdr:nvPicPr>
                    <xdr:cNvPr id="34" name="Picture 33" descr="This may contain: an image of a desert landscape at night">
                      <a:extLst>
                        <a:ext uri="{FF2B5EF4-FFF2-40B4-BE49-F238E27FC236}">
                          <a16:creationId xmlns:a16="http://schemas.microsoft.com/office/drawing/2014/main" id="{43D88F2E-E41C-424E-9E5E-47AA70F46FCB}"/>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46251" b="24600"/>
                    <a:stretch>
                      <a:fillRect/>
                    </a:stretch>
                  </xdr:blipFill>
                  <xdr:spPr bwMode="auto">
                    <a:xfrm>
                      <a:off x="6602824" y="3667929"/>
                      <a:ext cx="4630349" cy="2424080"/>
                    </a:xfrm>
                    <a:prstGeom prst="roundRect">
                      <a:avLst>
                        <a:gd name="adj" fmla="val 9593"/>
                      </a:avLst>
                    </a:prstGeom>
                    <a:noFill/>
                    <a:extLst>
                      <a:ext uri="{909E8E84-426E-40DD-AFC4-6F175D3DCCD1}">
                        <a14:hiddenFill xmlns:a14="http://schemas.microsoft.com/office/drawing/2010/main">
                          <a:solidFill>
                            <a:srgbClr val="FFFFFF"/>
                          </a:solidFill>
                        </a14:hiddenFill>
                      </a:ext>
                    </a:extLst>
                  </xdr:spPr>
                </xdr:pic>
                <xdr:sp macro="" textlink="">
                  <xdr:nvSpPr>
                    <xdr:cNvPr id="36" name="Rectangle: Rounded Corners 35">
                      <a:extLst>
                        <a:ext uri="{FF2B5EF4-FFF2-40B4-BE49-F238E27FC236}">
                          <a16:creationId xmlns:a16="http://schemas.microsoft.com/office/drawing/2014/main" id="{6734D290-6DD0-4E10-B647-4F3DD6776D90}"/>
                        </a:ext>
                      </a:extLst>
                    </xdr:cNvPr>
                    <xdr:cNvSpPr/>
                  </xdr:nvSpPr>
                  <xdr:spPr>
                    <a:xfrm>
                      <a:off x="266014" y="4048074"/>
                      <a:ext cx="1641182" cy="2112145"/>
                    </a:xfrm>
                    <a:prstGeom prst="roundRect">
                      <a:avLst>
                        <a:gd name="adj" fmla="val 7793"/>
                      </a:avLst>
                    </a:prstGeom>
                    <a:gradFill>
                      <a:gsLst>
                        <a:gs pos="67000">
                          <a:schemeClr val="accent1">
                            <a:lumMod val="5000"/>
                            <a:lumOff val="95000"/>
                          </a:schemeClr>
                        </a:gs>
                        <a:gs pos="89000">
                          <a:srgbClr val="E8F5EE"/>
                        </a:gs>
                      </a:gsLst>
                      <a:lin ang="7800000" scaled="0"/>
                    </a:gra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F1956FA4-2896-4367-BE96-333B325FED39}"/>
                        </a:ext>
                      </a:extLst>
                    </xdr:cNvPr>
                    <xdr:cNvGraphicFramePr>
                      <a:graphicFrameLocks/>
                    </xdr:cNvGraphicFramePr>
                  </xdr:nvGraphicFramePr>
                  <xdr:xfrm>
                    <a:off x="2293567" y="4511644"/>
                    <a:ext cx="835805" cy="76279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8" name="TextBox 37">
                      <a:extLst>
                        <a:ext uri="{FF2B5EF4-FFF2-40B4-BE49-F238E27FC236}">
                          <a16:creationId xmlns:a16="http://schemas.microsoft.com/office/drawing/2014/main" id="{73132235-1DDE-F641-B2F9-C71886E54A86}"/>
                        </a:ext>
                      </a:extLst>
                    </xdr:cNvPr>
                    <xdr:cNvSpPr txBox="1"/>
                  </xdr:nvSpPr>
                  <xdr:spPr>
                    <a:xfrm>
                      <a:off x="2978527" y="4643321"/>
                      <a:ext cx="1188589" cy="270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latin typeface="Arial Rounded MT Bold" panose="020F0704030504030204" pitchFamily="34" charset="0"/>
                        </a:rPr>
                        <a:t>Grand Total :</a:t>
                      </a:r>
                    </a:p>
                  </xdr:txBody>
                </xdr:sp>
                <xdr:sp macro="" textlink="piovet!B20">
                  <xdr:nvSpPr>
                    <xdr:cNvPr id="39" name="TextBox 38">
                      <a:extLst>
                        <a:ext uri="{FF2B5EF4-FFF2-40B4-BE49-F238E27FC236}">
                          <a16:creationId xmlns:a16="http://schemas.microsoft.com/office/drawing/2014/main" id="{EE11FFE0-3C36-E72A-A6B7-10E3DE5BD0E3}"/>
                        </a:ext>
                      </a:extLst>
                    </xdr:cNvPr>
                    <xdr:cNvSpPr txBox="1"/>
                  </xdr:nvSpPr>
                  <xdr:spPr>
                    <a:xfrm>
                      <a:off x="3998663" y="4638906"/>
                      <a:ext cx="1006057" cy="305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19990FC-F81A-4630-864A-572686D966B3}" type="TxLink">
                        <a:rPr lang="en-US" sz="1200" b="0" i="0" u="none" strike="noStrike">
                          <a:solidFill>
                            <a:schemeClr val="bg1"/>
                          </a:solidFill>
                          <a:latin typeface="Arial Rounded MT Bold" panose="020F0704030504030204" pitchFamily="34" charset="0"/>
                        </a:rPr>
                        <a:pPr/>
                        <a:t>-2209</a:t>
                      </a:fld>
                      <a:endParaRPr lang="en-IN" sz="1200">
                        <a:solidFill>
                          <a:schemeClr val="bg1"/>
                        </a:solidFill>
                        <a:latin typeface="Arial Rounded MT Bold" panose="020F0704030504030204" pitchFamily="34" charset="0"/>
                      </a:endParaRPr>
                    </a:p>
                  </xdr:txBody>
                </xdr:sp>
                <xdr:sp macro="" textlink="">
                  <xdr:nvSpPr>
                    <xdr:cNvPr id="25" name="TextBox 24">
                      <a:extLst>
                        <a:ext uri="{FF2B5EF4-FFF2-40B4-BE49-F238E27FC236}">
                          <a16:creationId xmlns:a16="http://schemas.microsoft.com/office/drawing/2014/main" id="{18472EE4-D81A-9B2A-29E1-FD0903FE0656}"/>
                        </a:ext>
                      </a:extLst>
                    </xdr:cNvPr>
                    <xdr:cNvSpPr txBox="1"/>
                  </xdr:nvSpPr>
                  <xdr:spPr>
                    <a:xfrm>
                      <a:off x="2974455" y="4829948"/>
                      <a:ext cx="28184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5F7F6"/>
                          </a:solidFill>
                        </a:rPr>
                        <a:t>Expence and Income ratio</a:t>
                      </a:r>
                      <a:r>
                        <a:rPr lang="en-IN" sz="1100" baseline="0">
                          <a:solidFill>
                            <a:srgbClr val="F5F7F6"/>
                          </a:solidFill>
                        </a:rPr>
                        <a:t> from the Grand total</a:t>
                      </a:r>
                      <a:endParaRPr lang="en-IN" sz="1100">
                        <a:solidFill>
                          <a:srgbClr val="F5F7F6"/>
                        </a:solidFill>
                      </a:endParaRPr>
                    </a:p>
                  </xdr:txBody>
                </xdr:sp>
              </xdr:grpSp>
              <xdr:sp macro="" textlink="">
                <xdr:nvSpPr>
                  <xdr:cNvPr id="28" name="TextBox 27">
                    <a:extLst>
                      <a:ext uri="{FF2B5EF4-FFF2-40B4-BE49-F238E27FC236}">
                        <a16:creationId xmlns:a16="http://schemas.microsoft.com/office/drawing/2014/main" id="{65353E94-8EB4-FE4F-6C29-5070F235284C}"/>
                      </a:ext>
                    </a:extLst>
                  </xdr:cNvPr>
                  <xdr:cNvSpPr txBox="1"/>
                </xdr:nvSpPr>
                <xdr:spPr>
                  <a:xfrm>
                    <a:off x="4821296" y="4499879"/>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rPr>
                      <a:t>₹</a:t>
                    </a:r>
                  </a:p>
                </xdr:txBody>
              </xdr:sp>
              <xdr:sp macro="" textlink="">
                <xdr:nvSpPr>
                  <xdr:cNvPr id="40" name="Rectangle: Rounded Corners 39">
                    <a:extLst>
                      <a:ext uri="{FF2B5EF4-FFF2-40B4-BE49-F238E27FC236}">
                        <a16:creationId xmlns:a16="http://schemas.microsoft.com/office/drawing/2014/main" id="{ACB3CDDB-38C8-49C0-8C66-A475445EF9EA}"/>
                      </a:ext>
                    </a:extLst>
                  </xdr:cNvPr>
                  <xdr:cNvSpPr/>
                </xdr:nvSpPr>
                <xdr:spPr>
                  <a:xfrm>
                    <a:off x="2336174" y="5315185"/>
                    <a:ext cx="1810926" cy="627160"/>
                  </a:xfrm>
                  <a:prstGeom prst="roundRect">
                    <a:avLst>
                      <a:gd name="adj" fmla="val 24817"/>
                    </a:avLst>
                  </a:prstGeom>
                  <a:solidFill>
                    <a:srgbClr val="093234"/>
                  </a:solidFill>
                  <a:ln>
                    <a:noFill/>
                  </a:ln>
                  <a:effectLst>
                    <a:outerShdw blurRad="50800" dist="38100" dir="2700000" algn="tl" rotWithShape="0">
                      <a:schemeClr val="bg1">
                        <a:alpha val="4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ovet!A25">
                <xdr:nvSpPr>
                  <xdr:cNvPr id="41" name="TextBox 40">
                    <a:extLst>
                      <a:ext uri="{FF2B5EF4-FFF2-40B4-BE49-F238E27FC236}">
                        <a16:creationId xmlns:a16="http://schemas.microsoft.com/office/drawing/2014/main" id="{DD78802F-3969-E1E3-4910-C6448EB5E61F}"/>
                      </a:ext>
                    </a:extLst>
                  </xdr:cNvPr>
                  <xdr:cNvSpPr txBox="1"/>
                </xdr:nvSpPr>
                <xdr:spPr>
                  <a:xfrm>
                    <a:off x="2932691" y="5472365"/>
                    <a:ext cx="1374901" cy="264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C017E13-6C1C-4C43-8D36-E3F397C6D0DA}" type="TxLink">
                      <a:rPr lang="en-US" sz="1200" b="0" i="0" u="none" strike="noStrike">
                        <a:solidFill>
                          <a:schemeClr val="bg1"/>
                        </a:solidFill>
                        <a:latin typeface="Arial Rounded MT Bold" panose="020F0704030504030204" pitchFamily="34" charset="0"/>
                      </a:rPr>
                      <a:pPr/>
                      <a:t>24 March 2026</a:t>
                    </a:fld>
                    <a:endParaRPr lang="en-IN" sz="1200">
                      <a:solidFill>
                        <a:schemeClr val="bg1"/>
                      </a:solidFill>
                      <a:latin typeface="Arial Rounded MT Bold" panose="020F0704030504030204" pitchFamily="34" charset="0"/>
                    </a:endParaRPr>
                  </a:p>
                </xdr:txBody>
              </xdr:sp>
              <xdr:sp macro="" textlink="">
                <xdr:nvSpPr>
                  <xdr:cNvPr id="42" name="TextBox 41">
                    <a:extLst>
                      <a:ext uri="{FF2B5EF4-FFF2-40B4-BE49-F238E27FC236}">
                        <a16:creationId xmlns:a16="http://schemas.microsoft.com/office/drawing/2014/main" id="{F9FB51E9-ACD3-3D47-AB96-28FD34F93991}"/>
                      </a:ext>
                    </a:extLst>
                  </xdr:cNvPr>
                  <xdr:cNvSpPr txBox="1"/>
                </xdr:nvSpPr>
                <xdr:spPr>
                  <a:xfrm>
                    <a:off x="2283437" y="5448456"/>
                    <a:ext cx="822597" cy="3001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latin typeface="Arial Rounded MT Bold" panose="020F0704030504030204" pitchFamily="34" charset="0"/>
                      </a:rPr>
                      <a:t>Today :</a:t>
                    </a:r>
                  </a:p>
                </xdr:txBody>
              </xdr:sp>
            </xdr:grpSp>
            <xdr:graphicFrame macro="">
              <xdr:nvGraphicFramePr>
                <xdr:cNvPr id="44" name="Chart 43">
                  <a:extLst>
                    <a:ext uri="{FF2B5EF4-FFF2-40B4-BE49-F238E27FC236}">
                      <a16:creationId xmlns:a16="http://schemas.microsoft.com/office/drawing/2014/main" id="{F3455AD1-6D5E-4749-B22F-4021DE9D1220}"/>
                    </a:ext>
                  </a:extLst>
                </xdr:cNvPr>
                <xdr:cNvGraphicFramePr>
                  <a:graphicFrameLocks/>
                </xdr:cNvGraphicFramePr>
              </xdr:nvGraphicFramePr>
              <xdr:xfrm>
                <a:off x="4159811" y="5343899"/>
                <a:ext cx="2128897" cy="853833"/>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51" name="Group 50">
                  <a:extLst>
                    <a:ext uri="{FF2B5EF4-FFF2-40B4-BE49-F238E27FC236}">
                      <a16:creationId xmlns:a16="http://schemas.microsoft.com/office/drawing/2014/main" id="{03E51689-9842-FA77-414D-81F06114CB49}"/>
                    </a:ext>
                  </a:extLst>
                </xdr:cNvPr>
                <xdr:cNvGrpSpPr/>
              </xdr:nvGrpSpPr>
              <xdr:grpSpPr>
                <a:xfrm>
                  <a:off x="358252" y="5863010"/>
                  <a:ext cx="1309927" cy="361149"/>
                  <a:chOff x="336604" y="5444488"/>
                  <a:chExt cx="1314737" cy="356119"/>
                </a:xfrm>
              </xdr:grpSpPr>
              <xdr:grpSp>
                <xdr:nvGrpSpPr>
                  <xdr:cNvPr id="47" name="Group 46">
                    <a:extLst>
                      <a:ext uri="{FF2B5EF4-FFF2-40B4-BE49-F238E27FC236}">
                        <a16:creationId xmlns:a16="http://schemas.microsoft.com/office/drawing/2014/main" id="{BB182073-7CC1-4EAF-B55B-E1F2F64E68FD}"/>
                      </a:ext>
                    </a:extLst>
                  </xdr:cNvPr>
                  <xdr:cNvGrpSpPr/>
                </xdr:nvGrpSpPr>
                <xdr:grpSpPr>
                  <a:xfrm>
                    <a:off x="336604" y="5444488"/>
                    <a:ext cx="336828" cy="340519"/>
                    <a:chOff x="11199091" y="4262197"/>
                    <a:chExt cx="990985" cy="1010226"/>
                  </a:xfrm>
                </xdr:grpSpPr>
                <xdr:sp macro="" textlink="">
                  <xdr:nvSpPr>
                    <xdr:cNvPr id="48" name="Oval 47">
                      <a:extLst>
                        <a:ext uri="{FF2B5EF4-FFF2-40B4-BE49-F238E27FC236}">
                          <a16:creationId xmlns:a16="http://schemas.microsoft.com/office/drawing/2014/main" id="{8FBEC8B3-AE12-1156-7071-0553A3E3FF30}"/>
                        </a:ext>
                      </a:extLst>
                    </xdr:cNvPr>
                    <xdr:cNvSpPr/>
                  </xdr:nvSpPr>
                  <xdr:spPr>
                    <a:xfrm>
                      <a:off x="11199091" y="4262197"/>
                      <a:ext cx="990985" cy="1010226"/>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9" name="Graphic 48" descr="Male profile with solid fill">
                      <a:extLst>
                        <a:ext uri="{FF2B5EF4-FFF2-40B4-BE49-F238E27FC236}">
                          <a16:creationId xmlns:a16="http://schemas.microsoft.com/office/drawing/2014/main" id="{E55725B6-0A5F-F2A8-5763-A1ED6ECAAB3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324166" y="4396893"/>
                      <a:ext cx="740834" cy="740834"/>
                    </a:xfrm>
                    <a:prstGeom prst="rect">
                      <a:avLst/>
                    </a:prstGeom>
                  </xdr:spPr>
                </xdr:pic>
              </xdr:grpSp>
              <xdr:sp macro="" textlink="">
                <xdr:nvSpPr>
                  <xdr:cNvPr id="50" name="TextBox 49">
                    <a:extLst>
                      <a:ext uri="{FF2B5EF4-FFF2-40B4-BE49-F238E27FC236}">
                        <a16:creationId xmlns:a16="http://schemas.microsoft.com/office/drawing/2014/main" id="{FC83D967-3E45-4EC4-A695-F4D136A52C07}"/>
                      </a:ext>
                    </a:extLst>
                  </xdr:cNvPr>
                  <xdr:cNvSpPr txBox="1"/>
                </xdr:nvSpPr>
                <xdr:spPr>
                  <a:xfrm>
                    <a:off x="678069" y="5478538"/>
                    <a:ext cx="973272" cy="322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latin typeface="Arial Rounded MT Bold" panose="020F0704030504030204" pitchFamily="34" charset="0"/>
                      </a:rPr>
                      <a:t>Random Person</a:t>
                    </a:r>
                  </a:p>
                  <a:p>
                    <a:r>
                      <a:rPr lang="en-IN" sz="400">
                        <a:latin typeface="Arial Rounded MT Bold" panose="020F0704030504030204" pitchFamily="34" charset="0"/>
                      </a:rPr>
                      <a:t>#do3729a9</a:t>
                    </a:r>
                  </a:p>
                </xdr:txBody>
              </xdr:sp>
            </xdr:grpSp>
            <xdr:pic>
              <xdr:nvPicPr>
                <xdr:cNvPr id="53" name="Graphic 52" descr="Bar chart with solid fill">
                  <a:extLst>
                    <a:ext uri="{FF2B5EF4-FFF2-40B4-BE49-F238E27FC236}">
                      <a16:creationId xmlns:a16="http://schemas.microsoft.com/office/drawing/2014/main" id="{1DBA4C80-9755-9A27-0551-D225871E76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00883" y="3341658"/>
                  <a:ext cx="274272" cy="152574"/>
                </a:xfrm>
                <a:prstGeom prst="rect">
                  <a:avLst/>
                </a:prstGeom>
              </xdr:spPr>
            </xdr:pic>
            <xdr:pic>
              <xdr:nvPicPr>
                <xdr:cNvPr id="55" name="Graphic 54" descr="Pie chart with solid fill">
                  <a:extLst>
                    <a:ext uri="{FF2B5EF4-FFF2-40B4-BE49-F238E27FC236}">
                      <a16:creationId xmlns:a16="http://schemas.microsoft.com/office/drawing/2014/main" id="{0DAC0ACA-8A94-FFF4-AE89-162A9F864AD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41003" y="2456047"/>
                  <a:ext cx="206557" cy="206343"/>
                </a:xfrm>
                <a:prstGeom prst="rect">
                  <a:avLst/>
                </a:prstGeom>
              </xdr:spPr>
            </xdr:pic>
          </xdr:grpSp>
          <xdr:pic>
            <xdr:nvPicPr>
              <xdr:cNvPr id="59" name="Graphic 58" descr="Fingerprint with solid fill">
                <a:extLst>
                  <a:ext uri="{FF2B5EF4-FFF2-40B4-BE49-F238E27FC236}">
                    <a16:creationId xmlns:a16="http://schemas.microsoft.com/office/drawing/2014/main" id="{A7876D6A-5536-15EE-926A-99AAF3DF80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1262424">
                <a:off x="1616622" y="5743347"/>
                <a:ext cx="132810" cy="131201"/>
              </a:xfrm>
              <a:prstGeom prst="rect">
                <a:avLst/>
              </a:prstGeom>
            </xdr:spPr>
          </xdr:pic>
        </xdr:grpSp>
        <xdr:sp macro="" textlink="">
          <xdr:nvSpPr>
            <xdr:cNvPr id="61" name="TextBox 60">
              <a:extLst>
                <a:ext uri="{FF2B5EF4-FFF2-40B4-BE49-F238E27FC236}">
                  <a16:creationId xmlns:a16="http://schemas.microsoft.com/office/drawing/2014/main" id="{9390F823-D1E8-4B1E-BA22-BEFC1F2BF37E}"/>
                </a:ext>
              </a:extLst>
            </xdr:cNvPr>
            <xdr:cNvSpPr txBox="1"/>
          </xdr:nvSpPr>
          <xdr:spPr>
            <a:xfrm>
              <a:off x="6652589" y="3762993"/>
              <a:ext cx="4295070" cy="830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solidFill>
                    <a:schemeClr val="bg1"/>
                  </a:solidFill>
                  <a:latin typeface="Arial Rounded MT Bold" panose="020F0704030504030204" pitchFamily="34" charset="0"/>
                </a:rPr>
                <a:t>This</a:t>
              </a:r>
              <a:r>
                <a:rPr lang="en-IN" sz="1400">
                  <a:solidFill>
                    <a:schemeClr val="bg1"/>
                  </a:solidFill>
                  <a:latin typeface="Arial Rounded MT Bold" panose="020F0704030504030204" pitchFamily="34" charset="0"/>
                </a:rPr>
                <a:t> </a:t>
              </a:r>
              <a:r>
                <a:rPr lang="en-IN" sz="1600">
                  <a:solidFill>
                    <a:schemeClr val="bg1"/>
                  </a:solidFill>
                  <a:latin typeface="Arial Rounded MT Bold" panose="020F0704030504030204" pitchFamily="34" charset="0"/>
                </a:rPr>
                <a:t>project</a:t>
              </a:r>
              <a:r>
                <a:rPr lang="en-IN" sz="1400">
                  <a:solidFill>
                    <a:schemeClr val="bg1"/>
                  </a:solidFill>
                  <a:latin typeface="Arial Rounded MT Bold" panose="020F0704030504030204" pitchFamily="34" charset="0"/>
                </a:rPr>
                <a:t> </a:t>
              </a:r>
              <a:r>
                <a:rPr lang="en-IN" sz="1200">
                  <a:solidFill>
                    <a:schemeClr val="bg1"/>
                  </a:solidFill>
                  <a:latin typeface="Arial Rounded MT Bold" panose="020F0704030504030204" pitchFamily="34" charset="0"/>
                </a:rPr>
                <a:t>was made to helped in understanding how</a:t>
              </a:r>
              <a:r>
                <a:rPr lang="en-IN" sz="1400">
                  <a:solidFill>
                    <a:schemeClr val="bg1"/>
                  </a:solidFill>
                  <a:latin typeface="Arial Rounded MT Bold" panose="020F0704030504030204" pitchFamily="34" charset="0"/>
                </a:rPr>
                <a:t> Data </a:t>
              </a:r>
              <a:r>
                <a:rPr lang="en-IN" sz="1200">
                  <a:solidFill>
                    <a:schemeClr val="bg1"/>
                  </a:solidFill>
                  <a:latin typeface="Arial Rounded MT Bold" panose="020F0704030504030204" pitchFamily="34" charset="0"/>
                </a:rPr>
                <a:t>can be </a:t>
              </a:r>
              <a:r>
                <a:rPr lang="en-IN" sz="1800">
                  <a:solidFill>
                    <a:srgbClr val="E0FF4F"/>
                  </a:solidFill>
                  <a:latin typeface="Arial Rounded MT Bold" panose="020F0704030504030204" pitchFamily="34" charset="0"/>
                </a:rPr>
                <a:t>visualized</a:t>
              </a:r>
              <a:r>
                <a:rPr lang="en-IN" sz="1400">
                  <a:solidFill>
                    <a:schemeClr val="bg1"/>
                  </a:solidFill>
                  <a:latin typeface="Arial Rounded MT Bold" panose="020F0704030504030204" pitchFamily="34" charset="0"/>
                </a:rPr>
                <a:t> </a:t>
              </a:r>
              <a:r>
                <a:rPr lang="en-IN" sz="1200">
                  <a:solidFill>
                    <a:schemeClr val="bg1"/>
                  </a:solidFill>
                  <a:latin typeface="Arial Rounded MT Bold" panose="020F0704030504030204" pitchFamily="34" charset="0"/>
                </a:rPr>
                <a:t>effectively using </a:t>
              </a:r>
              <a:r>
                <a:rPr lang="en-IN" sz="1600" u="sng">
                  <a:solidFill>
                    <a:schemeClr val="bg1"/>
                  </a:solidFill>
                  <a:latin typeface="Arial Rounded MT Bold" panose="020F0704030504030204" pitchFamily="34" charset="0"/>
                </a:rPr>
                <a:t>dashboards</a:t>
              </a:r>
              <a:endParaRPr lang="en-IN" sz="1400" u="sng">
                <a:solidFill>
                  <a:schemeClr val="bg1"/>
                </a:solidFill>
                <a:latin typeface="Arial Rounded MT Bold" panose="020F0704030504030204" pitchFamily="34" charset="0"/>
              </a:endParaRPr>
            </a:p>
          </xdr:txBody>
        </xdr:sp>
      </xdr:grpSp>
      <xdr:grpSp>
        <xdr:nvGrpSpPr>
          <xdr:cNvPr id="66" name="Group 65">
            <a:extLst>
              <a:ext uri="{FF2B5EF4-FFF2-40B4-BE49-F238E27FC236}">
                <a16:creationId xmlns:a16="http://schemas.microsoft.com/office/drawing/2014/main" id="{59958E4A-9B1F-6A47-F3E2-E0D00C2281DF}"/>
              </a:ext>
            </a:extLst>
          </xdr:cNvPr>
          <xdr:cNvGrpSpPr/>
        </xdr:nvGrpSpPr>
        <xdr:grpSpPr>
          <a:xfrm rot="20321398">
            <a:off x="9759827" y="5687158"/>
            <a:ext cx="1017310" cy="334730"/>
            <a:chOff x="10138873" y="5702300"/>
            <a:chExt cx="1015356" cy="328543"/>
          </a:xfrm>
        </xdr:grpSpPr>
        <xdr:sp macro="" textlink="">
          <xdr:nvSpPr>
            <xdr:cNvPr id="64" name="Rectangle: Rounded Corners 63">
              <a:extLst>
                <a:ext uri="{FF2B5EF4-FFF2-40B4-BE49-F238E27FC236}">
                  <a16:creationId xmlns:a16="http://schemas.microsoft.com/office/drawing/2014/main" id="{7E44FF39-1A8A-5DB3-98AD-0187A2A1D241}"/>
                </a:ext>
              </a:extLst>
            </xdr:cNvPr>
            <xdr:cNvSpPr/>
          </xdr:nvSpPr>
          <xdr:spPr>
            <a:xfrm>
              <a:off x="10203228" y="5702300"/>
              <a:ext cx="893434" cy="328543"/>
            </a:xfrm>
            <a:prstGeom prst="roundRect">
              <a:avLst>
                <a:gd name="adj" fmla="val 50000"/>
              </a:avLst>
            </a:prstGeom>
            <a:solidFill>
              <a:schemeClr val="bg1"/>
            </a:solidFill>
            <a:ln>
              <a:noFill/>
            </a:ln>
            <a:effectLst>
              <a:outerShdw blurRad="266700" dist="50800" sx="103000" sy="103000" algn="tl" rotWithShape="0">
                <a:prstClr val="black">
                  <a:alpha val="1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TextBox 64">
              <a:extLst>
                <a:ext uri="{FF2B5EF4-FFF2-40B4-BE49-F238E27FC236}">
                  <a16:creationId xmlns:a16="http://schemas.microsoft.com/office/drawing/2014/main" id="{E534D48D-938F-CD03-4F9E-6A58070772E7}"/>
                </a:ext>
              </a:extLst>
            </xdr:cNvPr>
            <xdr:cNvSpPr txBox="1"/>
          </xdr:nvSpPr>
          <xdr:spPr>
            <a:xfrm>
              <a:off x="10138873" y="5752036"/>
              <a:ext cx="1015356" cy="239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solidFill>
                    <a:srgbClr val="00272B"/>
                  </a:solidFill>
                  <a:latin typeface="Arial Rounded MT Bold" panose="020F0704030504030204" pitchFamily="34" charset="0"/>
                </a:rPr>
                <a:t>Pranam</a:t>
              </a:r>
              <a:r>
                <a:rPr lang="en-IN" sz="1000">
                  <a:solidFill>
                    <a:srgbClr val="00272B"/>
                  </a:solidFill>
                  <a:latin typeface="Arial Rounded MT Bold" panose="020F0704030504030204" pitchFamily="34" charset="0"/>
                </a:rPr>
                <a:t> </a:t>
              </a:r>
              <a:r>
                <a:rPr lang="en-IN" sz="900" u="sng">
                  <a:solidFill>
                    <a:srgbClr val="00272B"/>
                  </a:solidFill>
                  <a:latin typeface="Arial Rounded MT Bold" panose="020F0704030504030204" pitchFamily="34" charset="0"/>
                </a:rPr>
                <a:t>Chand</a:t>
              </a:r>
              <a:endParaRPr lang="en-IN" sz="1000" u="sng">
                <a:solidFill>
                  <a:srgbClr val="00272B"/>
                </a:solidFill>
                <a:latin typeface="Arial Rounded MT Bold" panose="020F0704030504030204" pitchFamily="34" charset="0"/>
              </a:endParaRPr>
            </a:p>
          </xdr:txBody>
        </xdr:sp>
      </xdr:grpSp>
      <xdr:grpSp>
        <xdr:nvGrpSpPr>
          <xdr:cNvPr id="70" name="Group 69">
            <a:extLst>
              <a:ext uri="{FF2B5EF4-FFF2-40B4-BE49-F238E27FC236}">
                <a16:creationId xmlns:a16="http://schemas.microsoft.com/office/drawing/2014/main" id="{FB4EAA0E-CDF6-CF1C-37E2-95330DAC8DA2}"/>
              </a:ext>
            </a:extLst>
          </xdr:cNvPr>
          <xdr:cNvGrpSpPr/>
        </xdr:nvGrpSpPr>
        <xdr:grpSpPr>
          <a:xfrm rot="2182347">
            <a:off x="9660004" y="5282182"/>
            <a:ext cx="916620" cy="376741"/>
            <a:chOff x="9595474" y="4945417"/>
            <a:chExt cx="914716" cy="370307"/>
          </a:xfrm>
        </xdr:grpSpPr>
        <xdr:sp macro="" textlink="">
          <xdr:nvSpPr>
            <xdr:cNvPr id="68" name="Rectangle: Rounded Corners 67">
              <a:extLst>
                <a:ext uri="{FF2B5EF4-FFF2-40B4-BE49-F238E27FC236}">
                  <a16:creationId xmlns:a16="http://schemas.microsoft.com/office/drawing/2014/main" id="{13B08151-C50B-CB0E-FB8E-A5C2EFFBF757}"/>
                </a:ext>
              </a:extLst>
            </xdr:cNvPr>
            <xdr:cNvSpPr/>
          </xdr:nvSpPr>
          <xdr:spPr>
            <a:xfrm rot="20321398">
              <a:off x="9595474" y="4945417"/>
              <a:ext cx="893434" cy="328543"/>
            </a:xfrm>
            <a:prstGeom prst="roundRect">
              <a:avLst>
                <a:gd name="adj" fmla="val 50000"/>
              </a:avLst>
            </a:prstGeom>
            <a:solidFill>
              <a:srgbClr val="E0FF4F"/>
            </a:solidFill>
            <a:ln>
              <a:noFill/>
            </a:ln>
            <a:effectLst>
              <a:outerShdw blurRad="266700" dist="50800" sx="103000" sy="103000" algn="tl" rotWithShape="0">
                <a:prstClr val="black">
                  <a:alpha val="1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TextBox 68">
              <a:extLst>
                <a:ext uri="{FF2B5EF4-FFF2-40B4-BE49-F238E27FC236}">
                  <a16:creationId xmlns:a16="http://schemas.microsoft.com/office/drawing/2014/main" id="{22516605-3C18-DF46-388E-BBC2463CB428}"/>
                </a:ext>
              </a:extLst>
            </xdr:cNvPr>
            <xdr:cNvSpPr txBox="1"/>
          </xdr:nvSpPr>
          <xdr:spPr>
            <a:xfrm rot="20321398">
              <a:off x="9649381" y="4949212"/>
              <a:ext cx="860809" cy="3665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u="none">
                  <a:solidFill>
                    <a:srgbClr val="00272B"/>
                  </a:solidFill>
                  <a:latin typeface="Arial Rounded MT Bold" panose="020F0704030504030204" pitchFamily="34" charset="0"/>
                </a:rPr>
                <a:t>Data Science student</a:t>
              </a:r>
              <a:endParaRPr lang="en-IN" sz="800" u="sng">
                <a:solidFill>
                  <a:srgbClr val="00272B"/>
                </a:solidFill>
                <a:latin typeface="Arial Rounded MT Bold" panose="020F0704030504030204" pitchFamily="34" charset="0"/>
              </a:endParaRPr>
            </a:p>
          </xdr:txBody>
        </xdr:sp>
      </xdr:grpSp>
      <xdr:grpSp>
        <xdr:nvGrpSpPr>
          <xdr:cNvPr id="71" name="Group 70">
            <a:extLst>
              <a:ext uri="{FF2B5EF4-FFF2-40B4-BE49-F238E27FC236}">
                <a16:creationId xmlns:a16="http://schemas.microsoft.com/office/drawing/2014/main" id="{2A39C588-FC59-4AF7-8A9D-DB87430DF066}"/>
              </a:ext>
            </a:extLst>
          </xdr:cNvPr>
          <xdr:cNvGrpSpPr/>
        </xdr:nvGrpSpPr>
        <xdr:grpSpPr>
          <a:xfrm rot="20955513">
            <a:off x="8908823" y="5417396"/>
            <a:ext cx="916725" cy="395206"/>
            <a:chOff x="10182100" y="5690320"/>
            <a:chExt cx="914562" cy="386610"/>
          </a:xfrm>
          <a:effectLst>
            <a:outerShdw blurRad="152400" dist="38100" dir="2700000" sx="98000" sy="98000" algn="tl" rotWithShape="0">
              <a:schemeClr val="bg1">
                <a:alpha val="31000"/>
              </a:schemeClr>
            </a:outerShdw>
          </a:effectLst>
        </xdr:grpSpPr>
        <xdr:sp macro="" textlink="">
          <xdr:nvSpPr>
            <xdr:cNvPr id="72" name="Rectangle: Rounded Corners 71">
              <a:extLst>
                <a:ext uri="{FF2B5EF4-FFF2-40B4-BE49-F238E27FC236}">
                  <a16:creationId xmlns:a16="http://schemas.microsoft.com/office/drawing/2014/main" id="{402ED966-3E97-F3CC-AFC7-57510A43179D}"/>
                </a:ext>
              </a:extLst>
            </xdr:cNvPr>
            <xdr:cNvSpPr/>
          </xdr:nvSpPr>
          <xdr:spPr>
            <a:xfrm>
              <a:off x="10203228" y="5702300"/>
              <a:ext cx="893434" cy="328543"/>
            </a:xfrm>
            <a:prstGeom prst="roundRect">
              <a:avLst>
                <a:gd name="adj" fmla="val 50000"/>
              </a:avLst>
            </a:prstGeom>
            <a:solidFill>
              <a:srgbClr val="00272B"/>
            </a:solidFill>
            <a:ln>
              <a:noFill/>
            </a:ln>
            <a:effectLst>
              <a:outerShdw blurRad="266700" dist="50800" sx="103000" sy="103000" algn="tl" rotWithShape="0">
                <a:schemeClr val="bg1">
                  <a:alpha val="1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3" name="TextBox 72">
              <a:extLst>
                <a:ext uri="{FF2B5EF4-FFF2-40B4-BE49-F238E27FC236}">
                  <a16:creationId xmlns:a16="http://schemas.microsoft.com/office/drawing/2014/main" id="{04D4D373-FBD6-697B-9BE3-4261BAA6B610}"/>
                </a:ext>
              </a:extLst>
            </xdr:cNvPr>
            <xdr:cNvSpPr txBox="1"/>
          </xdr:nvSpPr>
          <xdr:spPr>
            <a:xfrm>
              <a:off x="10182100" y="5690320"/>
              <a:ext cx="895289" cy="386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solidFill>
                    <a:srgbClr val="E0FF4F"/>
                  </a:solidFill>
                  <a:latin typeface="Arial Rounded MT Bold" panose="020F0704030504030204" pitchFamily="34" charset="0"/>
                </a:rPr>
                <a:t>Aspiring Data analyst</a:t>
              </a:r>
              <a:endParaRPr lang="en-IN" sz="1000" u="sng">
                <a:solidFill>
                  <a:srgbClr val="E0FF4F"/>
                </a:solidFill>
                <a:latin typeface="Arial Rounded MT Bold" panose="020F0704030504030204" pitchFamily="34" charset="0"/>
              </a:endParaRPr>
            </a:p>
          </xdr:txBody>
        </xdr:sp>
      </xdr:grp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m chand" refreshedDate="46103.646387152781" createdVersion="8" refreshedVersion="8" minRefreshableVersion="3" recordCount="273" xr:uid="{0E4CE6A7-D071-4E9A-B8EC-7F835DB73EF6}">
  <cacheSource type="worksheet">
    <worksheetSource ref="B1:F274" sheet="main data"/>
  </cacheSource>
  <cacheFields count="5">
    <cacheField name="Account" numFmtId="0">
      <sharedItems count="2">
        <s v="CUB - online payment"/>
        <s v="Cash"/>
      </sharedItems>
    </cacheField>
    <cacheField name="Category" numFmtId="0">
      <sharedItems/>
    </cacheField>
    <cacheField name="goods" numFmtId="0">
      <sharedItems/>
    </cacheField>
    <cacheField name="INR" numFmtId="0">
      <sharedItems containsSemiMixedTypes="0" containsString="0" containsNumber="1" minValue="3" maxValue="10000" count="135">
        <n v="50"/>
        <n v="300"/>
        <n v="78"/>
        <n v="30"/>
        <n v="67"/>
        <n v="100"/>
        <n v="500"/>
        <n v="339.15"/>
        <n v="200"/>
        <n v="243"/>
        <n v="1500"/>
        <n v="40"/>
        <n v="84"/>
        <n v="289"/>
        <n v="324.7"/>
        <n v="399"/>
        <n v="83"/>
        <n v="120"/>
        <n v="1300"/>
        <n v="138"/>
        <n v="336"/>
        <n v="201.8"/>
        <n v="111"/>
        <n v="250"/>
        <n v="1575"/>
        <n v="380"/>
        <n v="60"/>
        <n v="270"/>
        <n v="348"/>
        <n v="80"/>
        <n v="165"/>
        <n v="475"/>
        <n v="491"/>
        <n v="70"/>
        <n v="10000"/>
        <n v="373"/>
        <n v="641"/>
        <n v="1000"/>
        <n v="2099"/>
        <n v="214"/>
        <n v="125"/>
        <n v="150"/>
        <n v="5000"/>
        <n v="153"/>
        <n v="155"/>
        <n v="105"/>
        <n v="44"/>
        <n v="10"/>
        <n v="43"/>
        <n v="279"/>
        <n v="115"/>
        <n v="25"/>
        <n v="259"/>
        <n v="18"/>
        <n v="325"/>
        <n v="133"/>
        <n v="465"/>
        <n v="302"/>
        <n v="310"/>
        <n v="176"/>
        <n v="2000"/>
        <n v="188"/>
        <n v="37"/>
        <n v="171"/>
        <n v="301.14999999999998"/>
        <n v="59"/>
        <n v="148"/>
        <n v="1365"/>
        <n v="170"/>
        <n v="340"/>
        <n v="240"/>
        <n v="1530"/>
        <n v="66"/>
        <n v="479"/>
        <n v="301.75"/>
        <n v="135.5"/>
        <n v="106"/>
        <n v="260"/>
        <n v="535.29999999999995"/>
        <n v="4580"/>
        <n v="15"/>
        <n v="440"/>
        <n v="20"/>
        <n v="877.81"/>
        <n v="42"/>
        <n v="211"/>
        <n v="354"/>
        <n v="388"/>
        <n v="1400"/>
        <n v="8000"/>
        <n v="107"/>
        <n v="201"/>
        <n v="5"/>
        <n v="140"/>
        <n v="8"/>
        <n v="725"/>
        <n v="85"/>
        <n v="199"/>
        <n v="286"/>
        <n v="14"/>
        <n v="504"/>
        <n v="306"/>
        <n v="400"/>
        <n v="262"/>
        <n v="32"/>
        <n v="239"/>
        <n v="113"/>
        <n v="363.72"/>
        <n v="160"/>
        <n v="110"/>
        <n v="75"/>
        <n v="74"/>
        <n v="65"/>
        <n v="241"/>
        <n v="195"/>
        <n v="280"/>
        <n v="1120.72"/>
        <n v="1800"/>
        <n v="4800"/>
        <n v="324"/>
        <n v="130"/>
        <n v="196"/>
        <n v="128"/>
        <n v="94"/>
        <n v="269.39999999999998"/>
        <n v="35"/>
        <n v="102"/>
        <n v="3"/>
        <n v="145"/>
        <n v="58"/>
        <n v="95"/>
        <n v="179"/>
        <n v="90"/>
        <n v="97"/>
        <n v="875"/>
      </sharedItems>
    </cacheField>
    <cacheField name="Income/Expense" numFmtId="0">
      <sharedItems/>
    </cacheField>
  </cacheFields>
  <extLst>
    <ext xmlns:x14="http://schemas.microsoft.com/office/spreadsheetml/2009/9/main" uri="{725AE2AE-9491-48be-B2B4-4EB974FC3084}">
      <x14:pivotCacheDefinition pivotCacheId="19526909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m chand" refreshedDate="46103.662711458332" createdVersion="8" refreshedVersion="8" minRefreshableVersion="3" recordCount="273" xr:uid="{682BA042-D540-46DD-93BE-6455833505BE}">
  <cacheSource type="worksheet">
    <worksheetSource ref="A1:F274" sheet="main data"/>
  </cacheSource>
  <cacheFields count="6">
    <cacheField name="Date" numFmtId="0">
      <sharedItems containsDate="1" containsMixedTypes="1" minDate="2021-01-12T14:00:00" maxDate="2022-12-02T21:20:00" count="236">
        <d v="2022-02-03T10:11:00"/>
        <d v="2022-01-03T19:50:00"/>
        <d v="2022-01-03T18:56:00"/>
        <d v="2022-01-03T18:22:00"/>
        <d v="2022-01-03T18:21:00"/>
        <s v="2/28/2022 11:56"/>
        <s v="2/28/2022 11:45"/>
        <s v="2/27/2022 15:29"/>
        <s v="2/26/2022 17:37"/>
        <s v="2/26/2022 14:07"/>
        <s v="2/26/2022 1:39"/>
        <s v="2/24/2022 22:21"/>
        <s v="2/24/2022 19:15"/>
        <s v="2/23/2022 17:35"/>
        <s v="2/23/2022 16:06"/>
        <s v="2/23/2022 12:38"/>
        <s v="2/22/2022 6:33"/>
        <s v="2/21/2022 22:15"/>
        <s v="2/21/2022 16:06"/>
        <s v="2/21/2022 15:40"/>
        <s v="2/21/2022 15:38"/>
        <s v="2/20/2022 15:24"/>
        <s v="2/19/2022 23:03"/>
        <s v="2/19/2022 21:57"/>
        <s v="2/19/2022 21:35"/>
        <s v="2/19/2022 20:45"/>
        <s v="2/19/2022 8:26"/>
        <s v="2/19/2022 6:27"/>
        <s v="2/19/2022 6:18"/>
        <s v="2/18/2022 23:01"/>
        <s v="2/17/2022 13:11"/>
        <s v="2/16/2022 16:57"/>
        <s v="2/13/2022 21:54"/>
        <d v="2022-12-02T21:20:00"/>
        <d v="2022-12-02T16:04:00"/>
        <d v="2022-12-02T14:48:00"/>
        <d v="2022-12-02T14:47:00"/>
        <d v="2022-11-02T22:41:00"/>
        <d v="2022-10-02T20:15:00"/>
        <d v="2022-08-02T10:37:00"/>
        <d v="2022-08-02T09:18:00"/>
        <d v="2022-07-02T07:08:00"/>
        <d v="2022-06-02T18:32:00"/>
        <d v="2022-06-02T17:53:00"/>
        <d v="2022-06-02T17:52:00"/>
        <d v="2022-06-02T16:41:00"/>
        <d v="2022-06-02T16:40:00"/>
        <d v="2022-04-02T20:28:00"/>
        <d v="2022-03-02T14:53:00"/>
        <d v="2022-03-02T08:59:00"/>
        <d v="2022-02-02T20:15:00"/>
        <d v="2022-02-02T20:14:00"/>
        <s v="1/31/2022 8:44"/>
        <s v="1/31/2022 8:27"/>
        <s v="1/31/2022 8:26"/>
        <s v="1/30/2022 19:17"/>
        <s v="1/30/2022 19:01"/>
        <s v="1/30/2022 12:28"/>
        <s v="1/29/2022 21:56"/>
        <s v="1/29/2022 14:44"/>
        <s v="1/28/2022 21:58"/>
        <s v="1/28/2022 14:23"/>
        <s v="1/27/2022 21:25"/>
        <s v="1/27/2022 13:41"/>
        <s v="1/27/2022 13:39"/>
        <s v="1/27/2022 13:38"/>
        <s v="1/26/2022 17:45"/>
        <s v="1/26/2022 16:52"/>
        <s v="1/25/2022 13:35"/>
        <s v="1/25/2022 10:23"/>
        <s v="1/25/2022 9:20"/>
        <s v="1/24/2022 20:17"/>
        <s v="1/24/2022 14:08"/>
        <s v="1/23/2022 21:45"/>
        <s v="1/23/2022 21:41"/>
        <s v="1/23/2022 21:29"/>
        <s v="1/23/2022 21:27"/>
        <s v="1/21/2022 14:22"/>
        <s v="1/21/2022 11:47"/>
        <s v="1/19/2022 14:27"/>
        <s v="1/18/2022 20:54"/>
        <s v="1/18/2022 17:10"/>
        <s v="1/18/2022 13:51"/>
        <s v="1/18/2022 12:59"/>
        <s v="1/17/2022 18:31"/>
        <s v="1/15/2022 21:17"/>
        <s v="1/15/2022 21:16"/>
        <s v="1/14/2022 16:58"/>
        <s v="1/14/2022 16:56"/>
        <s v="1/14/2022 16:55"/>
        <s v="1/14/2022 16:54"/>
        <s v="1/13/2022 20:46"/>
        <s v="1/13/2022 19:10"/>
        <s v="1/13/2022 17:47"/>
        <d v="2022-12-01T22:44:00"/>
        <d v="2022-12-01T13:25:00"/>
        <d v="2022-11-01T14:07:00"/>
        <d v="2022-10-01T14:04:00"/>
        <d v="2022-08-01T13:46:00"/>
        <d v="2022-08-01T13:45:00"/>
        <d v="2022-08-01T13:38:00"/>
        <d v="2022-07-01T13:51:00"/>
        <d v="2022-06-01T21:30:00"/>
        <d v="2022-06-01T20:58:00"/>
        <d v="2022-06-01T20:13:00"/>
        <d v="2022-06-01T14:22:00"/>
        <d v="2022-06-01T11:48:00"/>
        <d v="2022-05-01T20:23:00"/>
        <d v="2022-05-01T14:46:00"/>
        <d v="2022-05-01T14:42:00"/>
        <d v="2022-05-01T14:39:00"/>
        <d v="2022-05-01T14:37:00"/>
        <d v="2022-05-01T14:35:00"/>
        <d v="2022-05-01T14:30:00"/>
        <d v="2022-04-01T22:11:00"/>
        <d v="2022-04-01T22:10:00"/>
        <d v="2022-04-01T13:53:00"/>
        <d v="2022-04-01T08:01:00"/>
        <d v="2022-04-01T07:58:00"/>
        <d v="2022-03-01T22:15:00"/>
        <d v="2022-03-01T21:54:00"/>
        <d v="2022-03-01T21:12:00"/>
        <d v="2022-03-01T21:11:00"/>
        <d v="2022-03-01T14:31:00"/>
        <d v="2022-03-01T14:30:00"/>
        <d v="2022-02-01T20:33:00"/>
        <d v="2022-02-01T20:32:00"/>
        <d v="2022-02-01T14:16:00"/>
        <d v="2022-01-01T21:46:00"/>
        <d v="2022-01-01T21:45:00"/>
        <s v="12/30/2021 14:10"/>
        <s v="12/30/2021 13:56"/>
        <s v="12/30/2021 13:36"/>
        <s v="12/30/2021 12:43"/>
        <s v="12/30/2021 12:38"/>
        <s v="12/30/2021 12:37"/>
        <s v="12/30/2021 11:45"/>
        <s v="12/30/2021 11:44"/>
        <s v="12/28/2021 13:42"/>
        <s v="12/27/2021 13:45"/>
        <s v="12/27/2021 13:44"/>
        <s v="12/27/2021 12:33"/>
        <s v="12/25/2021 22:53"/>
        <s v="12/25/2021 20:46"/>
        <s v="12/25/2021 19:50"/>
        <s v="12/25/2021 17:01"/>
        <s v="12/25/2021 15:35"/>
        <s v="12/25/2021 13:32"/>
        <s v="12/24/2021 21:49"/>
        <s v="12/24/2021 14:35"/>
        <s v="12/23/2021 16:31"/>
        <s v="12/23/2021 13:51"/>
        <s v="12/21/2021 20:53"/>
        <s v="12/21/2021 14:02"/>
        <s v="12/21/2021 11:43"/>
        <s v="12/20/2021 19:23"/>
        <s v="12/20/2021 19:22"/>
        <s v="12/20/2021 16:55"/>
        <s v="12/20/2021 15:29"/>
        <s v="12/20/2021 13:35"/>
        <s v="12/20/2021 9:46"/>
        <s v="12/19/2021 15:51"/>
        <s v="12/18/2021 21:01"/>
        <s v="12/18/2021 21:00"/>
        <s v="12/18/2021 19:52"/>
        <s v="12/18/2021 19:51"/>
        <s v="12/18/2021 14:19"/>
        <s v="12/17/2021 18:54"/>
        <s v="12/17/2021 14:45"/>
        <s v="12/17/2021 8:35"/>
        <s v="12/16/2021 18:44"/>
        <s v="12/16/2021 18:35"/>
        <s v="12/16/2021 13:38"/>
        <s v="12/16/2021 10:42"/>
        <s v="12/14/2021 23:54"/>
        <s v="12/14/2021 21:21"/>
        <s v="12/14/2021 21:03"/>
        <s v="12/14/2021 15:18"/>
        <s v="12/14/2021 10:33"/>
        <d v="2021-12-12T21:47:00"/>
        <d v="2021-11-12T09:22:00"/>
        <d v="2021-11-12T08:20:00"/>
        <d v="2021-10-12T21:38:00"/>
        <d v="2021-10-12T20:55:00"/>
        <d v="2021-09-12T20:03:00"/>
        <d v="2021-09-12T14:01:00"/>
        <d v="2021-09-12T09:56:00"/>
        <d v="2021-09-12T08:47:00"/>
        <d v="2021-08-12T14:15:00"/>
        <d v="2021-08-12T07:17:00"/>
        <d v="2021-07-12T09:54:00"/>
        <d v="2021-07-12T07:59:00"/>
        <d v="2021-06-12T21:59:00"/>
        <d v="2021-06-12T20:07:00"/>
        <d v="2021-06-12T19:57:00"/>
        <d v="2021-06-12T14:08:00"/>
        <d v="2021-05-12T19:45:00"/>
        <d v="2021-05-12T18:41:00"/>
        <d v="2021-05-12T12:23:00"/>
        <d v="2021-04-12T21:05:00"/>
        <d v="2021-04-12T20:20:00"/>
        <d v="2021-04-12T13:54:00"/>
        <d v="2021-04-12T10:13:00"/>
        <d v="2021-03-12T21:59:00"/>
        <d v="2021-03-12T21:28:00"/>
        <d v="2021-02-12T20:07:00"/>
        <d v="2021-02-12T19:48:00"/>
        <d v="2021-01-12T19:57:00"/>
        <d v="2021-01-12T14:00:00"/>
        <s v="11/30/2021 14:24"/>
        <s v="11/30/2021 14:17"/>
        <s v="11/30/2021 10:11"/>
        <s v="11/29/2021 20:47"/>
        <s v="11/29/2021 20:09"/>
        <s v="11/29/2021 9:29"/>
        <s v="11/28/2021 19:59"/>
        <s v="11/28/2021 13:10"/>
        <s v="11/27/2021 23:14"/>
        <s v="11/27/2021 22:34"/>
        <s v="11/27/2021 18:41"/>
        <s v="11/27/2021 13:46"/>
        <s v="11/27/2021 9:33"/>
        <s v="11/26/2021 21:56"/>
        <s v="11/26/2021 20:57"/>
        <s v="11/26/2021 20:15"/>
        <s v="11/26/2021 14:14"/>
        <s v="11/26/2021 9:22"/>
        <s v="11/25/2021 20:27"/>
        <s v="11/24/2021 19:26"/>
        <s v="11/24/2021 19:23"/>
        <s v="11/24/2021 19:06"/>
        <s v="11/23/2021 22:53"/>
        <s v="11/22/2021 14:16"/>
        <s v="11/21/2021 17:07"/>
        <s v="11/21/2021 15:50"/>
        <s v="11/21/2021 13:30"/>
      </sharedItems>
    </cacheField>
    <cacheField name="Account" numFmtId="0">
      <sharedItems count="2">
        <s v="CUB - online payment"/>
        <s v="Cash"/>
      </sharedItems>
    </cacheField>
    <cacheField name="Category" numFmtId="0">
      <sharedItems count="13">
        <s v="Food"/>
        <s v="Other"/>
        <s v="Transportation"/>
        <s v="Apparel"/>
        <s v="Household"/>
        <s v="Social Life"/>
        <s v="Education"/>
        <s v="Salary"/>
        <s v="Allowance"/>
        <s v="Self-development"/>
        <s v="Beauty"/>
        <s v="Gift"/>
        <s v="Petty cash"/>
      </sharedItems>
    </cacheField>
    <cacheField name="goods" numFmtId="0">
      <sharedItems/>
    </cacheField>
    <cacheField name="INR" numFmtId="0">
      <sharedItems containsSemiMixedTypes="0" containsString="0" containsNumber="1" minValue="-4800" maxValue="10000"/>
    </cacheField>
    <cacheField name="Income/Expense" numFmtId="0">
      <sharedItems count="2">
        <s v="Expense"/>
        <s v="Income"/>
      </sharedItems>
    </cacheField>
  </cacheFields>
  <extLst>
    <ext xmlns:x14="http://schemas.microsoft.com/office/spreadsheetml/2009/9/main" uri="{725AE2AE-9491-48be-B2B4-4EB974FC3084}">
      <x14:pivotCacheDefinition pivotCacheId="1855896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x v="0"/>
    <s v="Food"/>
    <s v="Brownie"/>
    <x v="0"/>
    <s v="Expense"/>
  </r>
  <r>
    <x v="0"/>
    <s v="Other"/>
    <s v="To lended people"/>
    <x v="1"/>
    <s v="Expense"/>
  </r>
  <r>
    <x v="0"/>
    <s v="Food"/>
    <s v="Dinner"/>
    <x v="2"/>
    <s v="Expense"/>
  </r>
  <r>
    <x v="0"/>
    <s v="Transportation"/>
    <s v="Metro"/>
    <x v="3"/>
    <s v="Expense"/>
  </r>
  <r>
    <x v="0"/>
    <s v="Food"/>
    <s v="Snacks"/>
    <x v="4"/>
    <s v="Expense"/>
  </r>
  <r>
    <x v="0"/>
    <s v="Other"/>
    <s v="From vicky"/>
    <x v="5"/>
    <s v="Income"/>
  </r>
  <r>
    <x v="0"/>
    <s v="Other"/>
    <s v="From dad"/>
    <x v="6"/>
    <s v="Income"/>
  </r>
  <r>
    <x v="0"/>
    <s v="Food"/>
    <s v="Pizza"/>
    <x v="7"/>
    <s v="Expense"/>
  </r>
  <r>
    <x v="0"/>
    <s v="Other"/>
    <s v="From kumara"/>
    <x v="8"/>
    <s v="Income"/>
  </r>
  <r>
    <x v="0"/>
    <s v="Food"/>
    <s v="Lunch"/>
    <x v="9"/>
    <s v="Expense"/>
  </r>
  <r>
    <x v="0"/>
    <s v="Other"/>
    <s v="From dad"/>
    <x v="10"/>
    <s v="Income"/>
  </r>
  <r>
    <x v="0"/>
    <s v="Other"/>
    <s v="To karthi"/>
    <x v="5"/>
    <s v="Expense"/>
  </r>
  <r>
    <x v="0"/>
    <s v="Food"/>
    <s v="Snacks"/>
    <x v="11"/>
    <s v="Expense"/>
  </r>
  <r>
    <x v="0"/>
    <s v="Food"/>
    <s v="Tea lights"/>
    <x v="12"/>
    <s v="Expense"/>
  </r>
  <r>
    <x v="0"/>
    <s v="Food"/>
    <s v="Creamstone"/>
    <x v="13"/>
    <s v="Expense"/>
  </r>
  <r>
    <x v="0"/>
    <s v="Food"/>
    <s v="Tamen"/>
    <x v="14"/>
    <s v="Expense"/>
  </r>
  <r>
    <x v="0"/>
    <s v="Apparel"/>
    <s v="Hoodie for gobi"/>
    <x v="15"/>
    <s v="Expense"/>
  </r>
  <r>
    <x v="0"/>
    <s v="Food"/>
    <s v="Eggs"/>
    <x v="16"/>
    <s v="Expense"/>
  </r>
  <r>
    <x v="0"/>
    <s v="Apparel"/>
    <s v="Earphone"/>
    <x v="15"/>
    <s v="Expense"/>
  </r>
  <r>
    <x v="0"/>
    <s v="Transportation"/>
    <s v="Auto to laxmi mills"/>
    <x v="17"/>
    <s v="Expense"/>
  </r>
  <r>
    <x v="0"/>
    <s v="Transportation"/>
    <s v="It better be worth it"/>
    <x v="18"/>
    <s v="Expense"/>
  </r>
  <r>
    <x v="0"/>
    <s v="Transportation"/>
    <s v="Travel to koyambedu"/>
    <x v="19"/>
    <s v="Expense"/>
  </r>
  <r>
    <x v="0"/>
    <s v="Household"/>
    <s v="Stuffs"/>
    <x v="20"/>
    <s v="Expense"/>
  </r>
  <r>
    <x v="0"/>
    <s v="Transportation"/>
    <s v="Train cbe to chn"/>
    <x v="21"/>
    <s v="Expense"/>
  </r>
  <r>
    <x v="0"/>
    <s v="Food"/>
    <s v="Lunch"/>
    <x v="8"/>
    <s v="Expense"/>
  </r>
  <r>
    <x v="0"/>
    <s v="Food"/>
    <s v="Random stuff for drinks"/>
    <x v="22"/>
    <s v="Expense"/>
  </r>
  <r>
    <x v="0"/>
    <s v="Food"/>
    <s v="Snacks"/>
    <x v="23"/>
    <s v="Expense"/>
  </r>
  <r>
    <x v="0"/>
    <s v="Transportation"/>
    <s v="Bus ticket"/>
    <x v="24"/>
    <s v="Expense"/>
  </r>
  <r>
    <x v="0"/>
    <s v="Transportation"/>
    <s v="Took from sbi"/>
    <x v="8"/>
    <s v="Expense"/>
  </r>
  <r>
    <x v="0"/>
    <s v="Food"/>
    <s v="Ramen with gobi"/>
    <x v="25"/>
    <s v="Expense"/>
  </r>
  <r>
    <x v="0"/>
    <s v="Transportation"/>
    <s v="Metro"/>
    <x v="26"/>
    <s v="Expense"/>
  </r>
  <r>
    <x v="0"/>
    <s v="Other"/>
    <s v="To auto anna"/>
    <x v="0"/>
    <s v="Expense"/>
  </r>
  <r>
    <x v="0"/>
    <s v="Transportation"/>
    <s v="To egmore"/>
    <x v="27"/>
    <s v="Expense"/>
  </r>
  <r>
    <x v="0"/>
    <s v="Food"/>
    <s v="Kfc dinner"/>
    <x v="28"/>
    <s v="Expense"/>
  </r>
  <r>
    <x v="0"/>
    <s v="Food"/>
    <s v="Lunch"/>
    <x v="29"/>
    <s v="Expense"/>
  </r>
  <r>
    <x v="0"/>
    <s v="Food"/>
    <s v="Side dishes"/>
    <x v="30"/>
    <s v="Expense"/>
  </r>
  <r>
    <x v="0"/>
    <s v="Food"/>
    <s v="Kfc "/>
    <x v="31"/>
    <s v="Expense"/>
  </r>
  <r>
    <x v="0"/>
    <s v="Social Life"/>
    <s v="Games "/>
    <x v="5"/>
    <s v="Expense"/>
  </r>
  <r>
    <x v="0"/>
    <s v="Food"/>
    <s v="Dinner with aravind and buddies"/>
    <x v="32"/>
    <s v="Expense"/>
  </r>
  <r>
    <x v="0"/>
    <s v="Household"/>
    <s v="Mirror"/>
    <x v="33"/>
    <s v="Expense"/>
  </r>
  <r>
    <x v="0"/>
    <s v="Food"/>
    <s v="Lunch"/>
    <x v="29"/>
    <s v="Expense"/>
  </r>
  <r>
    <x v="0"/>
    <s v="Other"/>
    <s v="From dad"/>
    <x v="34"/>
    <s v="Income"/>
  </r>
  <r>
    <x v="0"/>
    <s v="Food"/>
    <s v="Dinner with aravind"/>
    <x v="35"/>
    <s v="Expense"/>
  </r>
  <r>
    <x v="0"/>
    <s v="Food"/>
    <s v="Kfc dinner"/>
    <x v="36"/>
    <s v="Expense"/>
  </r>
  <r>
    <x v="0"/>
    <s v="Other"/>
    <s v="From dad"/>
    <x v="37"/>
    <s v="Income"/>
  </r>
  <r>
    <x v="0"/>
    <s v="Household"/>
    <s v="Bean bag"/>
    <x v="38"/>
    <s v="Expense"/>
  </r>
  <r>
    <x v="0"/>
    <s v="Transportation"/>
    <s v="Auto to Gobi's place"/>
    <x v="39"/>
    <s v="Expense"/>
  </r>
  <r>
    <x v="0"/>
    <s v="Food"/>
    <s v="Cakepark"/>
    <x v="40"/>
    <s v="Expense"/>
  </r>
  <r>
    <x v="0"/>
    <s v="Food"/>
    <s v="To kumara"/>
    <x v="41"/>
    <s v="Expense"/>
  </r>
  <r>
    <x v="0"/>
    <s v="Transportation"/>
    <s v="To chennai"/>
    <x v="37"/>
    <s v="Expense"/>
  </r>
  <r>
    <x v="0"/>
    <s v="Other"/>
    <s v="Salary from dad"/>
    <x v="42"/>
    <s v="Income"/>
  </r>
  <r>
    <x v="0"/>
    <s v="Other"/>
    <s v="To gobi"/>
    <x v="10"/>
    <s v="Expense"/>
  </r>
  <r>
    <x v="0"/>
    <s v="Food"/>
    <s v="Shawarma"/>
    <x v="29"/>
    <s v="Expense"/>
  </r>
  <r>
    <x v="0"/>
    <s v="Food"/>
    <s v="Good soup"/>
    <x v="0"/>
    <s v="Expense"/>
  </r>
  <r>
    <x v="0"/>
    <s v="Other"/>
    <s v="To gowdham"/>
    <x v="41"/>
    <s v="Expense"/>
  </r>
  <r>
    <x v="0"/>
    <s v="Food"/>
    <s v="Parotta"/>
    <x v="17"/>
    <s v="Expense"/>
  </r>
  <r>
    <x v="0"/>
    <s v="Other"/>
    <s v="From dad"/>
    <x v="6"/>
    <s v="Income"/>
  </r>
  <r>
    <x v="0"/>
    <s v="Transportation"/>
    <s v="Vnr to apk"/>
    <x v="0"/>
    <s v="Expense"/>
  </r>
  <r>
    <x v="0"/>
    <s v="Other"/>
    <s v="To vicky"/>
    <x v="8"/>
    <s v="Expense"/>
  </r>
  <r>
    <x v="0"/>
    <s v="Transportation"/>
    <s v="To ksr station"/>
    <x v="43"/>
    <s v="Expense"/>
  </r>
  <r>
    <x v="0"/>
    <s v="Food"/>
    <s v="Dinner"/>
    <x v="44"/>
    <s v="Expense"/>
  </r>
  <r>
    <x v="0"/>
    <s v="Food"/>
    <s v="Cycle gap "/>
    <x v="17"/>
    <s v="Expense"/>
  </r>
  <r>
    <x v="0"/>
    <s v="Food"/>
    <s v="Brunch"/>
    <x v="45"/>
    <s v="Expense"/>
  </r>
  <r>
    <x v="0"/>
    <s v="Transportation"/>
    <s v="Rapido to pg"/>
    <x v="46"/>
    <s v="Expense"/>
  </r>
  <r>
    <x v="0"/>
    <s v="Other"/>
    <s v="Sent to barath"/>
    <x v="5"/>
    <s v="Expense"/>
  </r>
  <r>
    <x v="0"/>
    <s v="Food"/>
    <s v="Banana"/>
    <x v="47"/>
    <s v="Expense"/>
  </r>
  <r>
    <x v="0"/>
    <s v="Food"/>
    <s v="Lunch with company"/>
    <x v="19"/>
    <s v="Expense"/>
  </r>
  <r>
    <x v="0"/>
    <s v="Transportation"/>
    <s v="Rapido to pg"/>
    <x v="48"/>
    <s v="Expense"/>
  </r>
  <r>
    <x v="0"/>
    <s v="Other"/>
    <s v="To vicky"/>
    <x v="1"/>
    <s v="Expense"/>
  </r>
  <r>
    <x v="0"/>
    <s v="Other"/>
    <s v="To vishnu"/>
    <x v="5"/>
    <s v="Expense"/>
  </r>
  <r>
    <x v="0"/>
    <s v="Food"/>
    <s v="Zinger box meal"/>
    <x v="49"/>
    <s v="Expense"/>
  </r>
  <r>
    <x v="0"/>
    <s v="Other"/>
    <s v="From vicky"/>
    <x v="1"/>
    <s v="Income"/>
  </r>
  <r>
    <x v="0"/>
    <s v="Other"/>
    <s v="From dad"/>
    <x v="10"/>
    <s v="Income"/>
  </r>
  <r>
    <x v="0"/>
    <s v="Food"/>
    <s v="Snacks"/>
    <x v="50"/>
    <s v="Expense"/>
  </r>
  <r>
    <x v="0"/>
    <s v="Other"/>
    <s v="Vishnu 100 gowdham 25"/>
    <x v="40"/>
    <s v="Income"/>
  </r>
  <r>
    <x v="0"/>
    <s v="Food"/>
    <s v="Paani poori"/>
    <x v="51"/>
    <s v="Expense"/>
  </r>
  <r>
    <x v="0"/>
    <s v="Food"/>
    <s v="Kfc date with myself"/>
    <x v="52"/>
    <s v="Expense"/>
  </r>
  <r>
    <x v="0"/>
    <s v="Food"/>
    <s v="Lemon tea"/>
    <x v="53"/>
    <s v="Expense"/>
  </r>
  <r>
    <x v="0"/>
    <s v="Transportation"/>
    <s v="Train to vnr"/>
    <x v="54"/>
    <s v="Expense"/>
  </r>
  <r>
    <x v="0"/>
    <s v="Food"/>
    <s v="Snack"/>
    <x v="11"/>
    <s v="Expense"/>
  </r>
  <r>
    <x v="0"/>
    <s v="Food"/>
    <s v="Lunch with company"/>
    <x v="55"/>
    <s v="Expense"/>
  </r>
  <r>
    <x v="0"/>
    <s v="Food"/>
    <s v="Pepsi"/>
    <x v="11"/>
    <s v="Expense"/>
  </r>
  <r>
    <x v="0"/>
    <s v="Food"/>
    <s v="Dinner"/>
    <x v="56"/>
    <s v="Expense"/>
  </r>
  <r>
    <x v="0"/>
    <s v="Food"/>
    <s v="Sent to vicky"/>
    <x v="1"/>
    <s v="Expense"/>
  </r>
  <r>
    <x v="0"/>
    <s v="Food"/>
    <s v="Lunch"/>
    <x v="57"/>
    <s v="Expense"/>
  </r>
  <r>
    <x v="0"/>
    <s v="Other"/>
    <s v="From vicky"/>
    <x v="58"/>
    <s v="Income"/>
  </r>
  <r>
    <x v="0"/>
    <s v="Food"/>
    <s v="Snacks with preethi and azar"/>
    <x v="59"/>
    <s v="Expense"/>
  </r>
  <r>
    <x v="0"/>
    <s v="Social Life"/>
    <s v="Badminton"/>
    <x v="8"/>
    <s v="Expense"/>
  </r>
  <r>
    <x v="0"/>
    <s v="Other"/>
    <s v="From dad"/>
    <x v="60"/>
    <s v="Income"/>
  </r>
  <r>
    <x v="0"/>
    <s v="Food"/>
    <s v="Lunch with company"/>
    <x v="61"/>
    <s v="Expense"/>
  </r>
  <r>
    <x v="0"/>
    <s v="Food"/>
    <s v="Snacks"/>
    <x v="62"/>
    <s v="Expense"/>
  </r>
  <r>
    <x v="0"/>
    <s v="Other"/>
    <s v="From vicky"/>
    <x v="8"/>
    <s v="Income"/>
  </r>
  <r>
    <x v="0"/>
    <s v="Food"/>
    <s v="Lunch + chocolate for preethi"/>
    <x v="63"/>
    <s v="Expense"/>
  </r>
  <r>
    <x v="0"/>
    <s v="Food"/>
    <s v="Dinner"/>
    <x v="64"/>
    <s v="Expense"/>
  </r>
  <r>
    <x v="0"/>
    <s v="Food"/>
    <s v="Snack with preethi"/>
    <x v="65"/>
    <s v="Expense"/>
  </r>
  <r>
    <x v="0"/>
    <s v="Food"/>
    <s v="Lunch with company"/>
    <x v="66"/>
    <s v="Expense"/>
  </r>
  <r>
    <x v="0"/>
    <s v="Other"/>
    <s v="To kumara"/>
    <x v="8"/>
    <s v="Expense"/>
  </r>
  <r>
    <x v="0"/>
    <s v="Other"/>
    <s v="From dad"/>
    <x v="37"/>
    <s v="Income"/>
  </r>
  <r>
    <x v="0"/>
    <s v="Food"/>
    <s v="Eve snack"/>
    <x v="5"/>
    <s v="Expense"/>
  </r>
  <r>
    <x v="0"/>
    <s v="Transportation"/>
    <s v="Bus to Bangalore"/>
    <x v="67"/>
    <s v="Expense"/>
  </r>
  <r>
    <x v="0"/>
    <s v="Other"/>
    <s v="From dad"/>
    <x v="10"/>
    <s v="Income"/>
  </r>
  <r>
    <x v="0"/>
    <s v="Food"/>
    <s v="Snacks"/>
    <x v="33"/>
    <s v="Expense"/>
  </r>
  <r>
    <x v="0"/>
    <s v="Other"/>
    <s v="Kumara"/>
    <x v="68"/>
    <s v="Income"/>
  </r>
  <r>
    <x v="0"/>
    <s v="Other"/>
    <s v="Siva + 100 cash"/>
    <x v="33"/>
    <s v="Income"/>
  </r>
  <r>
    <x v="0"/>
    <s v="Other"/>
    <s v="Gundan + prasanna"/>
    <x v="69"/>
    <s v="Income"/>
  </r>
  <r>
    <x v="0"/>
    <s v="Other"/>
    <s v="Dinesh and maddy + 100 cash"/>
    <x v="70"/>
    <s v="Income"/>
  </r>
  <r>
    <x v="0"/>
    <s v="Other"/>
    <s v="From gowdham"/>
    <x v="69"/>
    <s v="Income"/>
  </r>
  <r>
    <x v="0"/>
    <s v="Food"/>
    <s v="Lunch pongal"/>
    <x v="71"/>
    <s v="Expense"/>
  </r>
  <r>
    <x v="0"/>
    <s v="Food"/>
    <s v="Dinner"/>
    <x v="72"/>
    <s v="Expense"/>
  </r>
  <r>
    <x v="0"/>
    <s v="Other"/>
    <s v="From dad"/>
    <x v="37"/>
    <s v="Income"/>
  </r>
  <r>
    <x v="0"/>
    <s v="Transportation"/>
    <s v="Rapido to pg"/>
    <x v="48"/>
    <s v="Expense"/>
  </r>
  <r>
    <x v="0"/>
    <s v="Other"/>
    <s v="Recharge by gowdham"/>
    <x v="73"/>
    <s v="Expense"/>
  </r>
  <r>
    <x v="0"/>
    <s v="Food"/>
    <s v="Pizza"/>
    <x v="74"/>
    <s v="Expense"/>
  </r>
  <r>
    <x v="0"/>
    <s v="Other"/>
    <s v="From kumara"/>
    <x v="8"/>
    <s v="Income"/>
  </r>
  <r>
    <x v="0"/>
    <s v="Food"/>
    <s v="Lunch with not preethi"/>
    <x v="75"/>
    <s v="Expense"/>
  </r>
  <r>
    <x v="0"/>
    <s v="Food"/>
    <s v="Friday snacks with preethi gang"/>
    <x v="76"/>
    <s v="Expense"/>
  </r>
  <r>
    <x v="0"/>
    <s v="Other"/>
    <s v="From gowdham"/>
    <x v="77"/>
    <s v="Income"/>
  </r>
  <r>
    <x v="0"/>
    <s v="Food"/>
    <s v="Lunch with gowdham"/>
    <x v="78"/>
    <s v="Expense"/>
  </r>
  <r>
    <x v="0"/>
    <s v="Household"/>
    <s v="Rent"/>
    <x v="79"/>
    <s v="Expense"/>
  </r>
  <r>
    <x v="0"/>
    <s v="Food"/>
    <s v="Coffee + biscuit"/>
    <x v="80"/>
    <s v="Expense"/>
  </r>
  <r>
    <x v="0"/>
    <s v="Other"/>
    <s v="From barath and shakur"/>
    <x v="81"/>
    <s v="Income"/>
  </r>
  <r>
    <x v="0"/>
    <s v="Food"/>
    <s v="Ketch up"/>
    <x v="82"/>
    <s v="Expense"/>
  </r>
  <r>
    <x v="0"/>
    <s v="Food"/>
    <s v="Dinner with roommate"/>
    <x v="83"/>
    <s v="Expense"/>
  </r>
  <r>
    <x v="0"/>
    <s v="Food"/>
    <s v="Bingo"/>
    <x v="47"/>
    <s v="Expense"/>
  </r>
  <r>
    <x v="0"/>
    <s v="Transportation"/>
    <s v="Rapido to pg"/>
    <x v="84"/>
    <s v="Expense"/>
  </r>
  <r>
    <x v="0"/>
    <s v="Food"/>
    <s v="McDonald's with company"/>
    <x v="85"/>
    <s v="Expense"/>
  </r>
  <r>
    <x v="0"/>
    <s v="Other"/>
    <s v="Lended money returned to vishnu"/>
    <x v="11"/>
    <s v="Expense"/>
  </r>
  <r>
    <x v="0"/>
    <s v="Other"/>
    <s v="Lended money returned to kumara"/>
    <x v="3"/>
    <s v="Expense"/>
  </r>
  <r>
    <x v="0"/>
    <s v="Food"/>
    <s v="Jan 2nd with shakur and barath"/>
    <x v="86"/>
    <s v="Expense"/>
  </r>
  <r>
    <x v="0"/>
    <s v="Other"/>
    <s v="To gobi 1st 1/4th"/>
    <x v="6"/>
    <s v="Expense"/>
  </r>
  <r>
    <x v="0"/>
    <s v="Other"/>
    <s v="To abijith and to vicky lend money returned"/>
    <x v="6"/>
    <s v="Expense"/>
  </r>
  <r>
    <x v="0"/>
    <s v="Transportation"/>
    <s v="Refund for bus ticket"/>
    <x v="26"/>
    <s v="Expense"/>
  </r>
  <r>
    <x v="0"/>
    <s v="Food"/>
    <s v="Lunch with company"/>
    <x v="87"/>
    <s v="Expense"/>
  </r>
  <r>
    <x v="0"/>
    <s v="Education"/>
    <s v="Arrear and reval fee"/>
    <x v="88"/>
    <s v="Expense"/>
  </r>
  <r>
    <x v="0"/>
    <s v="Salary"/>
    <s v="Salary"/>
    <x v="89"/>
    <s v="Income"/>
  </r>
  <r>
    <x v="0"/>
    <s v="Food"/>
    <s v="Lunch with company"/>
    <x v="76"/>
    <s v="Expense"/>
  </r>
  <r>
    <x v="0"/>
    <s v="Other"/>
    <s v="To vicky"/>
    <x v="29"/>
    <s v="Expense"/>
  </r>
  <r>
    <x v="0"/>
    <s v="Food"/>
    <s v="Sent to preethi"/>
    <x v="90"/>
    <s v="Expense"/>
  </r>
  <r>
    <x v="0"/>
    <s v="Food"/>
    <s v="Dairy milk"/>
    <x v="47"/>
    <s v="Expense"/>
  </r>
  <r>
    <x v="0"/>
    <s v="Other"/>
    <s v="From barath"/>
    <x v="91"/>
    <s v="Income"/>
  </r>
  <r>
    <x v="0"/>
    <s v="Other"/>
    <s v="From gpay"/>
    <x v="92"/>
    <s v="Income"/>
  </r>
  <r>
    <x v="0"/>
    <s v="Other"/>
    <s v="From shakur"/>
    <x v="93"/>
    <s v="Income"/>
  </r>
  <r>
    <x v="0"/>
    <s v="Food"/>
    <s v="Lunch unlimited nv"/>
    <x v="1"/>
    <s v="Expense"/>
  </r>
  <r>
    <x v="0"/>
    <s v="Other"/>
    <s v="From abi"/>
    <x v="1"/>
    <s v="Income"/>
  </r>
  <r>
    <x v="0"/>
    <s v="Other"/>
    <s v="Tablet to gowdham"/>
    <x v="94"/>
    <s v="Expense"/>
  </r>
  <r>
    <x v="0"/>
    <s v="Food"/>
    <s v="Dinner with barath"/>
    <x v="8"/>
    <s v="Expense"/>
  </r>
  <r>
    <x v="0"/>
    <s v="Transportation"/>
    <s v="Train to vnr"/>
    <x v="95"/>
    <s v="Expense"/>
  </r>
  <r>
    <x v="0"/>
    <s v="Food"/>
    <s v="Snacks"/>
    <x v="96"/>
    <s v="Expense"/>
  </r>
  <r>
    <x v="0"/>
    <s v="Allowance"/>
    <s v="From dad"/>
    <x v="37"/>
    <s v="Income"/>
  </r>
  <r>
    <x v="0"/>
    <s v="Food"/>
    <s v="To barath"/>
    <x v="82"/>
    <s v="Expense"/>
  </r>
  <r>
    <x v="0"/>
    <s v="Transportation"/>
    <s v="Pg to office"/>
    <x v="48"/>
    <s v="Expense"/>
  </r>
  <r>
    <x v="0"/>
    <s v="Other"/>
    <s v="From kumara"/>
    <x v="3"/>
    <s v="Income"/>
  </r>
  <r>
    <x v="0"/>
    <s v="Food"/>
    <s v="Horlicks + kolakattai"/>
    <x v="51"/>
    <s v="Expense"/>
  </r>
  <r>
    <x v="0"/>
    <s v="Transportation"/>
    <s v="Bommasandra to pg"/>
    <x v="97"/>
    <s v="Expense"/>
  </r>
  <r>
    <x v="0"/>
    <s v="Other"/>
    <s v="From Deepak"/>
    <x v="23"/>
    <s v="Income"/>
  </r>
  <r>
    <x v="0"/>
    <s v="Food"/>
    <s v="Water"/>
    <x v="82"/>
    <s v="Expense"/>
  </r>
  <r>
    <x v="0"/>
    <s v="Other"/>
    <s v="From abi"/>
    <x v="82"/>
    <s v="Income"/>
  </r>
  <r>
    <x v="0"/>
    <s v="Transportation"/>
    <s v="Rapido + toll"/>
    <x v="98"/>
    <s v="Expense"/>
  </r>
  <r>
    <x v="0"/>
    <s v="Other"/>
    <s v="From Deepak"/>
    <x v="23"/>
    <s v="Income"/>
  </r>
  <r>
    <x v="0"/>
    <s v="Food"/>
    <s v="Coffee and thattai"/>
    <x v="99"/>
    <s v="Expense"/>
  </r>
  <r>
    <x v="0"/>
    <s v="Food"/>
    <s v="Lunch with barath"/>
    <x v="50"/>
    <s v="Expense"/>
  </r>
  <r>
    <x v="0"/>
    <s v="Other"/>
    <s v="From vicky"/>
    <x v="29"/>
    <s v="Income"/>
  </r>
  <r>
    <x v="0"/>
    <s v="Other"/>
    <s v="From ganesan"/>
    <x v="11"/>
    <s v="Income"/>
  </r>
  <r>
    <x v="0"/>
    <s v="Food"/>
    <s v="Coconut water with stu"/>
    <x v="0"/>
    <s v="Expense"/>
  </r>
  <r>
    <x v="0"/>
    <s v="Food"/>
    <s v="Dinner with barath"/>
    <x v="100"/>
    <s v="Expense"/>
  </r>
  <r>
    <x v="0"/>
    <s v="Transportation"/>
    <s v="Cab"/>
    <x v="101"/>
    <s v="Expense"/>
  </r>
  <r>
    <x v="0"/>
    <s v="Self-development"/>
    <s v="Books"/>
    <x v="102"/>
    <s v="Expense"/>
  </r>
  <r>
    <x v="0"/>
    <s v="Food"/>
    <s v="Corn"/>
    <x v="3"/>
    <s v="Expense"/>
  </r>
  <r>
    <x v="0"/>
    <s v="Food"/>
    <s v="Water"/>
    <x v="3"/>
    <s v="Expense"/>
  </r>
  <r>
    <x v="0"/>
    <s v="Food"/>
    <s v="Milk with bharath"/>
    <x v="11"/>
    <s v="Expense"/>
  </r>
  <r>
    <x v="0"/>
    <s v="Social Life"/>
    <s v="Beer"/>
    <x v="41"/>
    <s v="Expense"/>
  </r>
  <r>
    <x v="0"/>
    <s v="Food"/>
    <s v="Lunch with company"/>
    <x v="103"/>
    <s v="Expense"/>
  </r>
  <r>
    <x v="0"/>
    <s v="Food"/>
    <s v="Lemon tea with company"/>
    <x v="80"/>
    <s v="Expense"/>
  </r>
  <r>
    <x v="0"/>
    <s v="Food"/>
    <s v="Puffs and coffee"/>
    <x v="104"/>
    <s v="Expense"/>
  </r>
  <r>
    <x v="0"/>
    <s v="Food"/>
    <s v="Dinner with barath"/>
    <x v="105"/>
    <s v="Expense"/>
  </r>
  <r>
    <x v="0"/>
    <s v="Food"/>
    <s v="Puffs"/>
    <x v="51"/>
    <s v="Expense"/>
  </r>
  <r>
    <x v="0"/>
    <s v="Food"/>
    <s v="Bun"/>
    <x v="53"/>
    <s v="Expense"/>
  </r>
  <r>
    <x v="0"/>
    <s v="Food"/>
    <s v="Milk with bharath"/>
    <x v="29"/>
    <s v="Expense"/>
  </r>
  <r>
    <x v="0"/>
    <s v="Transportation"/>
    <s v="Taxi"/>
    <x v="29"/>
    <s v="Expense"/>
  </r>
  <r>
    <x v="0"/>
    <s v="Food"/>
    <s v="Snacks"/>
    <x v="82"/>
    <s v="Expense"/>
  </r>
  <r>
    <x v="0"/>
    <s v="Food"/>
    <s v="Water"/>
    <x v="82"/>
    <s v="Expense"/>
  </r>
  <r>
    <x v="0"/>
    <s v="Food"/>
    <s v="Lunch with barath"/>
    <x v="96"/>
    <s v="Expense"/>
  </r>
  <r>
    <x v="0"/>
    <s v="Food"/>
    <s v="Milk with bharath"/>
    <x v="11"/>
    <s v="Expense"/>
  </r>
  <r>
    <x v="0"/>
    <s v="Other"/>
    <s v="To siva"/>
    <x v="5"/>
    <s v="Expense"/>
  </r>
  <r>
    <x v="0"/>
    <s v="Other"/>
    <s v="To kumara"/>
    <x v="5"/>
    <s v="Expense"/>
  </r>
  <r>
    <x v="0"/>
    <s v="Other"/>
    <s v="To abijith"/>
    <x v="8"/>
    <s v="Expense"/>
  </r>
  <r>
    <x v="0"/>
    <s v="Food"/>
    <s v="To rahul"/>
    <x v="106"/>
    <s v="Expense"/>
  </r>
  <r>
    <x v="0"/>
    <s v="Allowance"/>
    <s v="From dad"/>
    <x v="37"/>
    <s v="Income"/>
  </r>
  <r>
    <x v="0"/>
    <s v="Other"/>
    <s v="Lended money"/>
    <x v="102"/>
    <s v="Income"/>
  </r>
  <r>
    <x v="0"/>
    <s v="Social Life"/>
    <s v="Spiderman "/>
    <x v="107"/>
    <s v="Expense"/>
  </r>
  <r>
    <x v="0"/>
    <s v="Food"/>
    <s v="Lunch"/>
    <x v="108"/>
    <s v="Expense"/>
  </r>
  <r>
    <x v="0"/>
    <s v="Food"/>
    <s v="Milk with bharath"/>
    <x v="33"/>
    <s v="Expense"/>
  </r>
  <r>
    <x v="0"/>
    <s v="Food"/>
    <s v="Lunch with company"/>
    <x v="109"/>
    <s v="Expense"/>
  </r>
  <r>
    <x v="0"/>
    <s v="Other"/>
    <s v="Gave to gowdham"/>
    <x v="0"/>
    <s v="Expense"/>
  </r>
  <r>
    <x v="0"/>
    <s v="Food"/>
    <s v="Egg"/>
    <x v="3"/>
    <s v="Expense"/>
  </r>
  <r>
    <x v="0"/>
    <s v="Food"/>
    <s v="Panipoori"/>
    <x v="82"/>
    <s v="Expense"/>
  </r>
  <r>
    <x v="0"/>
    <s v="Food"/>
    <s v="Lunch"/>
    <x v="3"/>
    <s v="Expense"/>
  </r>
  <r>
    <x v="0"/>
    <s v="Food"/>
    <s v="Milk with bharath"/>
    <x v="109"/>
    <s v="Expense"/>
  </r>
  <r>
    <x v="0"/>
    <s v="Food"/>
    <s v="Lunch"/>
    <x v="11"/>
    <s v="Expense"/>
  </r>
  <r>
    <x v="0"/>
    <s v="Food"/>
    <s v="Snacks"/>
    <x v="110"/>
    <s v="Expense"/>
  </r>
  <r>
    <x v="0"/>
    <s v="Food"/>
    <s v="Panipoori"/>
    <x v="29"/>
    <s v="Expense"/>
  </r>
  <r>
    <x v="0"/>
    <s v="Food"/>
    <s v="Snacks"/>
    <x v="111"/>
    <s v="Expense"/>
  </r>
  <r>
    <x v="0"/>
    <s v="Food"/>
    <s v="Milk with bharath"/>
    <x v="112"/>
    <s v="Expense"/>
  </r>
  <r>
    <x v="0"/>
    <s v="Food"/>
    <s v="Milk with bharath"/>
    <x v="51"/>
    <s v="Expense"/>
  </r>
  <r>
    <x v="0"/>
    <s v="Allowance"/>
    <s v="From dad"/>
    <x v="37"/>
    <s v="Income"/>
  </r>
  <r>
    <x v="0"/>
    <s v="Other"/>
    <s v="From stu"/>
    <x v="70"/>
    <s v="Income"/>
  </r>
  <r>
    <x v="0"/>
    <s v="Food"/>
    <s v="Shopping"/>
    <x v="113"/>
    <s v="Expense"/>
  </r>
  <r>
    <x v="0"/>
    <s v="Food"/>
    <s v="Momos"/>
    <x v="114"/>
    <s v="Expense"/>
  </r>
  <r>
    <x v="0"/>
    <s v="Food"/>
    <s v="Snack with bharath"/>
    <x v="11"/>
    <s v="Expense"/>
  </r>
  <r>
    <x v="0"/>
    <s v="Food"/>
    <s v="Lunch with company"/>
    <x v="115"/>
    <s v="Expense"/>
  </r>
  <r>
    <x v="0"/>
    <s v="Food"/>
    <s v="Milk with bharath"/>
    <x v="51"/>
    <s v="Expense"/>
  </r>
  <r>
    <x v="0"/>
    <s v="Food"/>
    <s v="Breakfast with stu"/>
    <x v="109"/>
    <s v="Expense"/>
  </r>
  <r>
    <x v="0"/>
    <s v="Food"/>
    <s v="Lunch with stu"/>
    <x v="5"/>
    <s v="Expense"/>
  </r>
  <r>
    <x v="1"/>
    <s v="Food"/>
    <s v="5 star"/>
    <x v="116"/>
    <s v="Expense"/>
  </r>
  <r>
    <x v="0"/>
    <s v="Food"/>
    <s v="Milk"/>
    <x v="47"/>
    <s v="Expense"/>
  </r>
  <r>
    <x v="0"/>
    <s v="Food"/>
    <s v="Milk with bharath"/>
    <x v="51"/>
    <s v="Expense"/>
  </r>
  <r>
    <x v="0"/>
    <s v="Food"/>
    <s v="Horlicks"/>
    <x v="80"/>
    <s v="Expense"/>
  </r>
  <r>
    <x v="0"/>
    <s v="Food"/>
    <s v="Milk with bharath"/>
    <x v="51"/>
    <s v="Expense"/>
  </r>
  <r>
    <x v="0"/>
    <s v="Apparel"/>
    <s v="Shoe"/>
    <x v="6"/>
    <s v="Expense"/>
  </r>
  <r>
    <x v="0"/>
    <s v="Apparel"/>
    <s v="Cap"/>
    <x v="93"/>
    <s v="Expense"/>
  </r>
  <r>
    <x v="0"/>
    <s v="Food"/>
    <s v="Lunch with stu"/>
    <x v="41"/>
    <s v="Expense"/>
  </r>
  <r>
    <x v="0"/>
    <s v="Food"/>
    <s v="Milk with bharath"/>
    <x v="51"/>
    <s v="Expense"/>
  </r>
  <r>
    <x v="0"/>
    <s v="Apparel"/>
    <s v="Full hand and a hoodie"/>
    <x v="117"/>
    <s v="Expense"/>
  </r>
  <r>
    <x v="0"/>
    <s v="Household"/>
    <s v="Rent"/>
    <x v="118"/>
    <s v="Expense"/>
  </r>
  <r>
    <x v="0"/>
    <s v="Allowance"/>
    <s v="From dad"/>
    <x v="89"/>
    <s v="Income"/>
  </r>
  <r>
    <x v="0"/>
    <s v="Food"/>
    <s v="Dinner"/>
    <x v="119"/>
    <s v="Expense"/>
  </r>
  <r>
    <x v="0"/>
    <s v="Food"/>
    <s v="Snack"/>
    <x v="112"/>
    <s v="Expense"/>
  </r>
  <r>
    <x v="0"/>
    <s v="Other"/>
    <s v="For company"/>
    <x v="3"/>
    <s v="Expense"/>
  </r>
  <r>
    <x v="0"/>
    <s v="Food"/>
    <s v="Breakfast"/>
    <x v="8"/>
    <s v="Expense"/>
  </r>
  <r>
    <x v="0"/>
    <s v="Food"/>
    <s v="Milk with bharath"/>
    <x v="51"/>
    <s v="Expense"/>
  </r>
  <r>
    <x v="0"/>
    <s v="Apparel"/>
    <s v="Belt"/>
    <x v="120"/>
    <s v="Expense"/>
  </r>
  <r>
    <x v="0"/>
    <s v="Apparel"/>
    <s v="Mask"/>
    <x v="82"/>
    <s v="Expense"/>
  </r>
  <r>
    <x v="0"/>
    <s v="Food"/>
    <s v="Snack"/>
    <x v="11"/>
    <s v="Expense"/>
  </r>
  <r>
    <x v="0"/>
    <s v="Allowance"/>
    <s v="From dad"/>
    <x v="37"/>
    <s v="Income"/>
  </r>
  <r>
    <x v="0"/>
    <s v="Food"/>
    <s v="Ice cream"/>
    <x v="100"/>
    <s v="Expense"/>
  </r>
  <r>
    <x v="0"/>
    <s v="Food"/>
    <s v="Vadapaav"/>
    <x v="110"/>
    <s v="Expense"/>
  </r>
  <r>
    <x v="0"/>
    <s v="Beauty"/>
    <s v="Showergel"/>
    <x v="121"/>
    <s v="Expense"/>
  </r>
  <r>
    <x v="0"/>
    <s v="Food"/>
    <s v="Lunch with company"/>
    <x v="108"/>
    <s v="Expense"/>
  </r>
  <r>
    <x v="0"/>
    <s v="Gift"/>
    <s v="Bharath birthday"/>
    <x v="50"/>
    <s v="Expense"/>
  </r>
  <r>
    <x v="0"/>
    <s v="Food"/>
    <s v="Lunch with company"/>
    <x v="122"/>
    <s v="Expense"/>
  </r>
  <r>
    <x v="0"/>
    <s v="Food"/>
    <s v="Breakfast"/>
    <x v="33"/>
    <s v="Expense"/>
  </r>
  <r>
    <x v="0"/>
    <s v="Food"/>
    <s v="Lunch with company"/>
    <x v="11"/>
    <s v="Expense"/>
  </r>
  <r>
    <x v="0"/>
    <s v="Food"/>
    <s v="Dinner"/>
    <x v="0"/>
    <s v="Expense"/>
  </r>
  <r>
    <x v="0"/>
    <s v="Food"/>
    <s v="Panipoori"/>
    <x v="11"/>
    <s v="Expense"/>
  </r>
  <r>
    <x v="0"/>
    <s v="Food"/>
    <s v="Breakfast"/>
    <x v="11"/>
    <s v="Expense"/>
  </r>
  <r>
    <x v="0"/>
    <s v="Food"/>
    <s v="Snack"/>
    <x v="123"/>
    <s v="Expense"/>
  </r>
  <r>
    <x v="0"/>
    <s v="Food"/>
    <s v="Zomato"/>
    <x v="124"/>
    <s v="Expense"/>
  </r>
  <r>
    <x v="0"/>
    <s v="Food"/>
    <s v="Dinner with gowdham"/>
    <x v="17"/>
    <s v="Expense"/>
  </r>
  <r>
    <x v="0"/>
    <s v="Food"/>
    <s v="Dinner with gowdham"/>
    <x v="120"/>
    <s v="Expense"/>
  </r>
  <r>
    <x v="0"/>
    <s v="Transportation"/>
    <s v="Rapido"/>
    <x v="125"/>
    <s v="Expense"/>
  </r>
  <r>
    <x v="0"/>
    <s v="Food"/>
    <s v="Lunch with company"/>
    <x v="110"/>
    <s v="Expense"/>
  </r>
  <r>
    <x v="0"/>
    <s v="Allowance"/>
    <s v="From dad"/>
    <x v="60"/>
    <s v="Income"/>
  </r>
  <r>
    <x v="0"/>
    <s v="Food"/>
    <s v="Breakfast"/>
    <x v="3"/>
    <s v="Expense"/>
  </r>
  <r>
    <x v="0"/>
    <s v="Food"/>
    <s v="Beer"/>
    <x v="41"/>
    <s v="Expense"/>
  </r>
  <r>
    <x v="0"/>
    <s v="Food"/>
    <s v="Snack"/>
    <x v="126"/>
    <s v="Expense"/>
  </r>
  <r>
    <x v="0"/>
    <s v="Food"/>
    <s v="Panipoori"/>
    <x v="11"/>
    <s v="Expense"/>
  </r>
  <r>
    <x v="0"/>
    <s v="Petty cash"/>
    <s v="Cashback"/>
    <x v="127"/>
    <s v="Income"/>
  </r>
  <r>
    <x v="0"/>
    <s v="Food"/>
    <s v="Lunch with company"/>
    <x v="41"/>
    <s v="Expense"/>
  </r>
  <r>
    <x v="0"/>
    <s v="Food"/>
    <s v="Breakfast"/>
    <x v="26"/>
    <s v="Expense"/>
  </r>
  <r>
    <x v="0"/>
    <s v="Food"/>
    <s v="Lunch with company"/>
    <x v="128"/>
    <s v="Expense"/>
  </r>
  <r>
    <x v="0"/>
    <s v="Transportation"/>
    <s v="Rapido"/>
    <x v="129"/>
    <s v="Expense"/>
  </r>
  <r>
    <x v="0"/>
    <s v="Food"/>
    <s v="Dinner"/>
    <x v="130"/>
    <s v="Expense"/>
  </r>
  <r>
    <x v="0"/>
    <s v="Food"/>
    <s v="Snack"/>
    <x v="80"/>
    <s v="Expense"/>
  </r>
  <r>
    <x v="0"/>
    <s v="Food"/>
    <s v="Dinner"/>
    <x v="33"/>
    <s v="Expense"/>
  </r>
  <r>
    <x v="0"/>
    <s v="Food"/>
    <s v="Panipoori"/>
    <x v="82"/>
    <s v="Expense"/>
  </r>
  <r>
    <x v="0"/>
    <s v="Transportation"/>
    <s v="Rapido"/>
    <x v="129"/>
    <s v="Expense"/>
  </r>
  <r>
    <x v="0"/>
    <s v="Transportation"/>
    <s v="Rapido"/>
    <x v="0"/>
    <s v="Expense"/>
  </r>
  <r>
    <x v="0"/>
    <s v="Food"/>
    <s v="Dinner"/>
    <x v="131"/>
    <s v="Expense"/>
  </r>
  <r>
    <x v="0"/>
    <s v="Food"/>
    <s v="Dinner"/>
    <x v="132"/>
    <s v="Expense"/>
  </r>
  <r>
    <x v="0"/>
    <s v="Food"/>
    <s v="Lunch with company"/>
    <x v="133"/>
    <s v="Expense"/>
  </r>
  <r>
    <x v="0"/>
    <s v="Transportation"/>
    <s v="Rapido"/>
    <x v="120"/>
    <s v="Expense"/>
  </r>
  <r>
    <x v="0"/>
    <s v="Food"/>
    <s v="Lunch"/>
    <x v="134"/>
    <s v="Expense"/>
  </r>
  <r>
    <x v="0"/>
    <s v="Other"/>
    <s v="Got from gobi"/>
    <x v="60"/>
    <s v="Incom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x v="0"/>
    <x v="0"/>
    <x v="0"/>
    <s v="Brownie"/>
    <n v="-50"/>
    <x v="0"/>
  </r>
  <r>
    <x v="0"/>
    <x v="0"/>
    <x v="1"/>
    <s v="To lended people"/>
    <n v="-300"/>
    <x v="0"/>
  </r>
  <r>
    <x v="1"/>
    <x v="0"/>
    <x v="0"/>
    <s v="Dinner"/>
    <n v="-78"/>
    <x v="0"/>
  </r>
  <r>
    <x v="2"/>
    <x v="0"/>
    <x v="2"/>
    <s v="Metro"/>
    <n v="-30"/>
    <x v="0"/>
  </r>
  <r>
    <x v="3"/>
    <x v="0"/>
    <x v="0"/>
    <s v="Snacks"/>
    <n v="-67"/>
    <x v="0"/>
  </r>
  <r>
    <x v="3"/>
    <x v="0"/>
    <x v="1"/>
    <s v="From vicky"/>
    <n v="100"/>
    <x v="1"/>
  </r>
  <r>
    <x v="4"/>
    <x v="0"/>
    <x v="1"/>
    <s v="From dad"/>
    <n v="500"/>
    <x v="1"/>
  </r>
  <r>
    <x v="5"/>
    <x v="0"/>
    <x v="0"/>
    <s v="Pizza"/>
    <n v="-339.15"/>
    <x v="0"/>
  </r>
  <r>
    <x v="6"/>
    <x v="0"/>
    <x v="1"/>
    <s v="From kumara"/>
    <n v="200"/>
    <x v="1"/>
  </r>
  <r>
    <x v="7"/>
    <x v="0"/>
    <x v="0"/>
    <s v="Lunch"/>
    <n v="-243"/>
    <x v="0"/>
  </r>
  <r>
    <x v="8"/>
    <x v="0"/>
    <x v="1"/>
    <s v="From dad"/>
    <n v="1500"/>
    <x v="1"/>
  </r>
  <r>
    <x v="8"/>
    <x v="0"/>
    <x v="1"/>
    <s v="To karthi"/>
    <n v="-100"/>
    <x v="0"/>
  </r>
  <r>
    <x v="9"/>
    <x v="0"/>
    <x v="0"/>
    <s v="Snacks"/>
    <n v="-40"/>
    <x v="0"/>
  </r>
  <r>
    <x v="10"/>
    <x v="0"/>
    <x v="0"/>
    <s v="Tea lights"/>
    <n v="-84"/>
    <x v="0"/>
  </r>
  <r>
    <x v="11"/>
    <x v="0"/>
    <x v="0"/>
    <s v="Creamstone"/>
    <n v="-289"/>
    <x v="0"/>
  </r>
  <r>
    <x v="12"/>
    <x v="0"/>
    <x v="0"/>
    <s v="Tamen"/>
    <n v="-324.7"/>
    <x v="0"/>
  </r>
  <r>
    <x v="13"/>
    <x v="0"/>
    <x v="3"/>
    <s v="Hoodie for gobi"/>
    <n v="-399"/>
    <x v="0"/>
  </r>
  <r>
    <x v="14"/>
    <x v="0"/>
    <x v="0"/>
    <s v="Eggs"/>
    <n v="-83"/>
    <x v="0"/>
  </r>
  <r>
    <x v="15"/>
    <x v="0"/>
    <x v="3"/>
    <s v="Earphone"/>
    <n v="-399"/>
    <x v="0"/>
  </r>
  <r>
    <x v="16"/>
    <x v="0"/>
    <x v="2"/>
    <s v="Auto to laxmi mills"/>
    <n v="-120"/>
    <x v="0"/>
  </r>
  <r>
    <x v="17"/>
    <x v="0"/>
    <x v="2"/>
    <s v="It better be worth it"/>
    <n v="-1300"/>
    <x v="0"/>
  </r>
  <r>
    <x v="18"/>
    <x v="0"/>
    <x v="2"/>
    <s v="Travel to koyambedu"/>
    <n v="-138"/>
    <x v="0"/>
  </r>
  <r>
    <x v="19"/>
    <x v="0"/>
    <x v="4"/>
    <s v="Stuffs"/>
    <n v="-336"/>
    <x v="0"/>
  </r>
  <r>
    <x v="20"/>
    <x v="0"/>
    <x v="2"/>
    <s v="Train cbe to chn"/>
    <n v="-201.8"/>
    <x v="0"/>
  </r>
  <r>
    <x v="21"/>
    <x v="0"/>
    <x v="0"/>
    <s v="Lunch"/>
    <n v="-200"/>
    <x v="0"/>
  </r>
  <r>
    <x v="22"/>
    <x v="0"/>
    <x v="0"/>
    <s v="Random stuff for drinks"/>
    <n v="-111"/>
    <x v="0"/>
  </r>
  <r>
    <x v="23"/>
    <x v="0"/>
    <x v="0"/>
    <s v="Snacks"/>
    <n v="-250"/>
    <x v="0"/>
  </r>
  <r>
    <x v="24"/>
    <x v="0"/>
    <x v="2"/>
    <s v="Bus ticket"/>
    <n v="-1575"/>
    <x v="0"/>
  </r>
  <r>
    <x v="25"/>
    <x v="0"/>
    <x v="2"/>
    <s v="Took from sbi"/>
    <n v="-200"/>
    <x v="0"/>
  </r>
  <r>
    <x v="25"/>
    <x v="0"/>
    <x v="0"/>
    <s v="Ramen with gobi"/>
    <n v="-380"/>
    <x v="0"/>
  </r>
  <r>
    <x v="26"/>
    <x v="0"/>
    <x v="2"/>
    <s v="Metro"/>
    <n v="-60"/>
    <x v="0"/>
  </r>
  <r>
    <x v="27"/>
    <x v="0"/>
    <x v="1"/>
    <s v="To auto anna"/>
    <n v="-50"/>
    <x v="0"/>
  </r>
  <r>
    <x v="28"/>
    <x v="0"/>
    <x v="2"/>
    <s v="To egmore"/>
    <n v="-270"/>
    <x v="0"/>
  </r>
  <r>
    <x v="29"/>
    <x v="0"/>
    <x v="0"/>
    <s v="Kfc dinner"/>
    <n v="-348"/>
    <x v="0"/>
  </r>
  <r>
    <x v="30"/>
    <x v="0"/>
    <x v="0"/>
    <s v="Lunch"/>
    <n v="-80"/>
    <x v="0"/>
  </r>
  <r>
    <x v="31"/>
    <x v="0"/>
    <x v="0"/>
    <s v="Side dishes"/>
    <n v="-165"/>
    <x v="0"/>
  </r>
  <r>
    <x v="31"/>
    <x v="0"/>
    <x v="0"/>
    <s v="Kfc "/>
    <n v="-475"/>
    <x v="0"/>
  </r>
  <r>
    <x v="32"/>
    <x v="0"/>
    <x v="5"/>
    <s v="Games "/>
    <n v="-100"/>
    <x v="0"/>
  </r>
  <r>
    <x v="33"/>
    <x v="0"/>
    <x v="0"/>
    <s v="Dinner with aravind and buddies"/>
    <n v="-491"/>
    <x v="0"/>
  </r>
  <r>
    <x v="34"/>
    <x v="0"/>
    <x v="4"/>
    <s v="Mirror"/>
    <n v="-70"/>
    <x v="0"/>
  </r>
  <r>
    <x v="35"/>
    <x v="0"/>
    <x v="0"/>
    <s v="Lunch"/>
    <n v="-80"/>
    <x v="0"/>
  </r>
  <r>
    <x v="36"/>
    <x v="0"/>
    <x v="1"/>
    <s v="From dad"/>
    <n v="10000"/>
    <x v="1"/>
  </r>
  <r>
    <x v="37"/>
    <x v="0"/>
    <x v="0"/>
    <s v="Dinner with aravind"/>
    <n v="-373"/>
    <x v="0"/>
  </r>
  <r>
    <x v="38"/>
    <x v="0"/>
    <x v="0"/>
    <s v="Kfc dinner"/>
    <n v="-641"/>
    <x v="0"/>
  </r>
  <r>
    <x v="39"/>
    <x v="0"/>
    <x v="1"/>
    <s v="From dad"/>
    <n v="1000"/>
    <x v="1"/>
  </r>
  <r>
    <x v="40"/>
    <x v="0"/>
    <x v="4"/>
    <s v="Bean bag"/>
    <n v="-2099"/>
    <x v="0"/>
  </r>
  <r>
    <x v="41"/>
    <x v="0"/>
    <x v="2"/>
    <s v="Auto to Gobi's place"/>
    <n v="-214"/>
    <x v="0"/>
  </r>
  <r>
    <x v="42"/>
    <x v="0"/>
    <x v="0"/>
    <s v="Cakepark"/>
    <n v="-125"/>
    <x v="0"/>
  </r>
  <r>
    <x v="43"/>
    <x v="0"/>
    <x v="0"/>
    <s v="To kumara"/>
    <n v="-150"/>
    <x v="0"/>
  </r>
  <r>
    <x v="44"/>
    <x v="0"/>
    <x v="2"/>
    <s v="To chennai"/>
    <n v="-1000"/>
    <x v="0"/>
  </r>
  <r>
    <x v="45"/>
    <x v="0"/>
    <x v="1"/>
    <s v="Salary from dad"/>
    <n v="5000"/>
    <x v="1"/>
  </r>
  <r>
    <x v="46"/>
    <x v="0"/>
    <x v="1"/>
    <s v="To gobi"/>
    <n v="-1500"/>
    <x v="0"/>
  </r>
  <r>
    <x v="47"/>
    <x v="0"/>
    <x v="0"/>
    <s v="Shawarma"/>
    <n v="-80"/>
    <x v="0"/>
  </r>
  <r>
    <x v="48"/>
    <x v="0"/>
    <x v="0"/>
    <s v="Good soup"/>
    <n v="-50"/>
    <x v="0"/>
  </r>
  <r>
    <x v="49"/>
    <x v="0"/>
    <x v="1"/>
    <s v="To gowdham"/>
    <n v="-150"/>
    <x v="0"/>
  </r>
  <r>
    <x v="50"/>
    <x v="0"/>
    <x v="0"/>
    <s v="Parotta"/>
    <n v="-120"/>
    <x v="0"/>
  </r>
  <r>
    <x v="51"/>
    <x v="0"/>
    <x v="1"/>
    <s v="From dad"/>
    <n v="500"/>
    <x v="1"/>
  </r>
  <r>
    <x v="52"/>
    <x v="0"/>
    <x v="2"/>
    <s v="Vnr to apk"/>
    <n v="-50"/>
    <x v="0"/>
  </r>
  <r>
    <x v="53"/>
    <x v="0"/>
    <x v="1"/>
    <s v="To vicky"/>
    <n v="-200"/>
    <x v="0"/>
  </r>
  <r>
    <x v="54"/>
    <x v="0"/>
    <x v="2"/>
    <s v="To ksr station"/>
    <n v="-153"/>
    <x v="0"/>
  </r>
  <r>
    <x v="55"/>
    <x v="0"/>
    <x v="0"/>
    <s v="Dinner"/>
    <n v="-155"/>
    <x v="0"/>
  </r>
  <r>
    <x v="56"/>
    <x v="0"/>
    <x v="0"/>
    <s v="Cycle gap "/>
    <n v="-120"/>
    <x v="0"/>
  </r>
  <r>
    <x v="57"/>
    <x v="0"/>
    <x v="0"/>
    <s v="Brunch"/>
    <n v="-105"/>
    <x v="0"/>
  </r>
  <r>
    <x v="58"/>
    <x v="0"/>
    <x v="2"/>
    <s v="Rapido to pg"/>
    <n v="-44"/>
    <x v="0"/>
  </r>
  <r>
    <x v="59"/>
    <x v="0"/>
    <x v="1"/>
    <s v="Sent to barath"/>
    <n v="-100"/>
    <x v="0"/>
  </r>
  <r>
    <x v="60"/>
    <x v="0"/>
    <x v="0"/>
    <s v="Banana"/>
    <n v="-10"/>
    <x v="0"/>
  </r>
  <r>
    <x v="61"/>
    <x v="0"/>
    <x v="0"/>
    <s v="Lunch with company"/>
    <n v="-138"/>
    <x v="0"/>
  </r>
  <r>
    <x v="62"/>
    <x v="0"/>
    <x v="2"/>
    <s v="Rapido to pg"/>
    <n v="-43"/>
    <x v="0"/>
  </r>
  <r>
    <x v="63"/>
    <x v="0"/>
    <x v="1"/>
    <s v="To vicky"/>
    <n v="-300"/>
    <x v="0"/>
  </r>
  <r>
    <x v="63"/>
    <x v="0"/>
    <x v="1"/>
    <s v="To vishnu"/>
    <n v="-100"/>
    <x v="0"/>
  </r>
  <r>
    <x v="64"/>
    <x v="0"/>
    <x v="0"/>
    <s v="Zinger box meal"/>
    <n v="-279"/>
    <x v="0"/>
  </r>
  <r>
    <x v="65"/>
    <x v="0"/>
    <x v="1"/>
    <s v="From vicky"/>
    <n v="300"/>
    <x v="1"/>
  </r>
  <r>
    <x v="65"/>
    <x v="0"/>
    <x v="1"/>
    <s v="From dad"/>
    <n v="1500"/>
    <x v="1"/>
  </r>
  <r>
    <x v="66"/>
    <x v="0"/>
    <x v="0"/>
    <s v="Snacks"/>
    <n v="-115"/>
    <x v="0"/>
  </r>
  <r>
    <x v="66"/>
    <x v="0"/>
    <x v="1"/>
    <s v="Vishnu 100 gowdham 25"/>
    <n v="125"/>
    <x v="1"/>
  </r>
  <r>
    <x v="67"/>
    <x v="0"/>
    <x v="0"/>
    <s v="Paani poori"/>
    <n v="-25"/>
    <x v="0"/>
  </r>
  <r>
    <x v="68"/>
    <x v="0"/>
    <x v="0"/>
    <s v="Kfc date with myself"/>
    <n v="-259"/>
    <x v="0"/>
  </r>
  <r>
    <x v="69"/>
    <x v="0"/>
    <x v="0"/>
    <s v="Lemon tea"/>
    <n v="-18"/>
    <x v="0"/>
  </r>
  <r>
    <x v="70"/>
    <x v="0"/>
    <x v="2"/>
    <s v="Train to vnr"/>
    <n v="-325"/>
    <x v="0"/>
  </r>
  <r>
    <x v="71"/>
    <x v="0"/>
    <x v="0"/>
    <s v="Snack"/>
    <n v="-40"/>
    <x v="0"/>
  </r>
  <r>
    <x v="72"/>
    <x v="0"/>
    <x v="0"/>
    <s v="Lunch with company"/>
    <n v="-133"/>
    <x v="0"/>
  </r>
  <r>
    <x v="73"/>
    <x v="0"/>
    <x v="0"/>
    <s v="Pepsi"/>
    <n v="-40"/>
    <x v="0"/>
  </r>
  <r>
    <x v="74"/>
    <x v="0"/>
    <x v="0"/>
    <s v="Dinner"/>
    <n v="-465"/>
    <x v="0"/>
  </r>
  <r>
    <x v="75"/>
    <x v="0"/>
    <x v="0"/>
    <s v="Sent to vicky"/>
    <n v="-300"/>
    <x v="0"/>
  </r>
  <r>
    <x v="75"/>
    <x v="0"/>
    <x v="0"/>
    <s v="Lunch"/>
    <n v="-302"/>
    <x v="0"/>
  </r>
  <r>
    <x v="75"/>
    <x v="0"/>
    <x v="1"/>
    <s v="From vicky"/>
    <n v="310"/>
    <x v="1"/>
  </r>
  <r>
    <x v="76"/>
    <x v="0"/>
    <x v="0"/>
    <s v="Snacks with preethi and azar"/>
    <n v="-176"/>
    <x v="0"/>
  </r>
  <r>
    <x v="76"/>
    <x v="0"/>
    <x v="5"/>
    <s v="Badminton"/>
    <n v="-200"/>
    <x v="0"/>
  </r>
  <r>
    <x v="76"/>
    <x v="0"/>
    <x v="1"/>
    <s v="From dad"/>
    <n v="2000"/>
    <x v="1"/>
  </r>
  <r>
    <x v="77"/>
    <x v="0"/>
    <x v="0"/>
    <s v="Lunch with company"/>
    <n v="-188"/>
    <x v="0"/>
  </r>
  <r>
    <x v="78"/>
    <x v="0"/>
    <x v="0"/>
    <s v="Snacks"/>
    <n v="-37"/>
    <x v="0"/>
  </r>
  <r>
    <x v="78"/>
    <x v="0"/>
    <x v="1"/>
    <s v="From vicky"/>
    <n v="200"/>
    <x v="1"/>
  </r>
  <r>
    <x v="79"/>
    <x v="0"/>
    <x v="0"/>
    <s v="Lunch + chocolate for preethi"/>
    <n v="-171"/>
    <x v="0"/>
  </r>
  <r>
    <x v="80"/>
    <x v="0"/>
    <x v="0"/>
    <s v="Dinner"/>
    <n v="-301.14999999999998"/>
    <x v="0"/>
  </r>
  <r>
    <x v="81"/>
    <x v="0"/>
    <x v="0"/>
    <s v="Snack with preethi"/>
    <n v="-59"/>
    <x v="0"/>
  </r>
  <r>
    <x v="82"/>
    <x v="0"/>
    <x v="0"/>
    <s v="Lunch with company"/>
    <n v="-148"/>
    <x v="0"/>
  </r>
  <r>
    <x v="83"/>
    <x v="0"/>
    <x v="1"/>
    <s v="To kumara"/>
    <n v="-200"/>
    <x v="0"/>
  </r>
  <r>
    <x v="83"/>
    <x v="0"/>
    <x v="1"/>
    <s v="From dad"/>
    <n v="1000"/>
    <x v="1"/>
  </r>
  <r>
    <x v="84"/>
    <x v="0"/>
    <x v="0"/>
    <s v="Eve snack"/>
    <n v="-100"/>
    <x v="0"/>
  </r>
  <r>
    <x v="85"/>
    <x v="0"/>
    <x v="2"/>
    <s v="Bus to Bangalore"/>
    <n v="-1365"/>
    <x v="0"/>
  </r>
  <r>
    <x v="86"/>
    <x v="0"/>
    <x v="1"/>
    <s v="From dad"/>
    <n v="1500"/>
    <x v="1"/>
  </r>
  <r>
    <x v="86"/>
    <x v="0"/>
    <x v="0"/>
    <s v="Snacks"/>
    <n v="-70"/>
    <x v="0"/>
  </r>
  <r>
    <x v="87"/>
    <x v="0"/>
    <x v="1"/>
    <s v="Kumara"/>
    <n v="170"/>
    <x v="1"/>
  </r>
  <r>
    <x v="88"/>
    <x v="0"/>
    <x v="1"/>
    <s v="Siva + 100 cash"/>
    <n v="70"/>
    <x v="1"/>
  </r>
  <r>
    <x v="88"/>
    <x v="0"/>
    <x v="1"/>
    <s v="Gundan + prasanna"/>
    <n v="340"/>
    <x v="1"/>
  </r>
  <r>
    <x v="89"/>
    <x v="0"/>
    <x v="1"/>
    <s v="Dinesh and maddy + 100 cash"/>
    <n v="240"/>
    <x v="1"/>
  </r>
  <r>
    <x v="90"/>
    <x v="0"/>
    <x v="1"/>
    <s v="From gowdham"/>
    <n v="340"/>
    <x v="1"/>
  </r>
  <r>
    <x v="90"/>
    <x v="0"/>
    <x v="0"/>
    <s v="Lunch pongal"/>
    <n v="-1530"/>
    <x v="0"/>
  </r>
  <r>
    <x v="91"/>
    <x v="0"/>
    <x v="0"/>
    <s v="Dinner"/>
    <n v="-66"/>
    <x v="0"/>
  </r>
  <r>
    <x v="92"/>
    <x v="0"/>
    <x v="1"/>
    <s v="From dad"/>
    <n v="1000"/>
    <x v="1"/>
  </r>
  <r>
    <x v="93"/>
    <x v="0"/>
    <x v="2"/>
    <s v="Rapido to pg"/>
    <n v="-43"/>
    <x v="0"/>
  </r>
  <r>
    <x v="94"/>
    <x v="0"/>
    <x v="1"/>
    <s v="Recharge by gowdham"/>
    <n v="-479"/>
    <x v="0"/>
  </r>
  <r>
    <x v="95"/>
    <x v="0"/>
    <x v="0"/>
    <s v="Pizza"/>
    <n v="-301.75"/>
    <x v="0"/>
  </r>
  <r>
    <x v="95"/>
    <x v="0"/>
    <x v="1"/>
    <s v="From kumara"/>
    <n v="200"/>
    <x v="1"/>
  </r>
  <r>
    <x v="96"/>
    <x v="0"/>
    <x v="0"/>
    <s v="Lunch with not preethi"/>
    <n v="-135.5"/>
    <x v="0"/>
  </r>
  <r>
    <x v="97"/>
    <x v="0"/>
    <x v="0"/>
    <s v="Friday snacks with preethi gang"/>
    <n v="-106"/>
    <x v="0"/>
  </r>
  <r>
    <x v="98"/>
    <x v="0"/>
    <x v="1"/>
    <s v="From gowdham"/>
    <n v="260"/>
    <x v="1"/>
  </r>
  <r>
    <x v="99"/>
    <x v="0"/>
    <x v="0"/>
    <s v="Lunch with gowdham"/>
    <n v="-535.29999999999995"/>
    <x v="0"/>
  </r>
  <r>
    <x v="100"/>
    <x v="0"/>
    <x v="4"/>
    <s v="Rent"/>
    <n v="-4580"/>
    <x v="0"/>
  </r>
  <r>
    <x v="101"/>
    <x v="0"/>
    <x v="0"/>
    <s v="Coffee + biscuit"/>
    <n v="-15"/>
    <x v="0"/>
  </r>
  <r>
    <x v="102"/>
    <x v="0"/>
    <x v="1"/>
    <s v="From barath and shakur"/>
    <n v="440"/>
    <x v="1"/>
  </r>
  <r>
    <x v="103"/>
    <x v="0"/>
    <x v="0"/>
    <s v="Ketch up"/>
    <n v="-20"/>
    <x v="0"/>
  </r>
  <r>
    <x v="104"/>
    <x v="0"/>
    <x v="0"/>
    <s v="Dinner with roommate"/>
    <n v="-877.81"/>
    <x v="0"/>
  </r>
  <r>
    <x v="105"/>
    <x v="0"/>
    <x v="0"/>
    <s v="Bingo"/>
    <n v="-10"/>
    <x v="0"/>
  </r>
  <r>
    <x v="106"/>
    <x v="0"/>
    <x v="2"/>
    <s v="Rapido to pg"/>
    <n v="-42"/>
    <x v="0"/>
  </r>
  <r>
    <x v="107"/>
    <x v="0"/>
    <x v="0"/>
    <s v="McDonald's with company"/>
    <n v="-211"/>
    <x v="0"/>
  </r>
  <r>
    <x v="108"/>
    <x v="0"/>
    <x v="1"/>
    <s v="Lended money returned to vishnu"/>
    <n v="-40"/>
    <x v="0"/>
  </r>
  <r>
    <x v="109"/>
    <x v="0"/>
    <x v="1"/>
    <s v="Lended money returned to kumara"/>
    <n v="-30"/>
    <x v="0"/>
  </r>
  <r>
    <x v="109"/>
    <x v="0"/>
    <x v="0"/>
    <s v="Jan 2nd with shakur and barath"/>
    <n v="-354"/>
    <x v="0"/>
  </r>
  <r>
    <x v="110"/>
    <x v="0"/>
    <x v="1"/>
    <s v="To gobi 1st 1/4th"/>
    <n v="-500"/>
    <x v="0"/>
  </r>
  <r>
    <x v="111"/>
    <x v="0"/>
    <x v="1"/>
    <s v="To abijith and to vicky lend money returned"/>
    <n v="-500"/>
    <x v="0"/>
  </r>
  <r>
    <x v="112"/>
    <x v="0"/>
    <x v="2"/>
    <s v="Refund for bus ticket"/>
    <n v="-60"/>
    <x v="0"/>
  </r>
  <r>
    <x v="113"/>
    <x v="0"/>
    <x v="0"/>
    <s v="Lunch with company"/>
    <n v="-388"/>
    <x v="0"/>
  </r>
  <r>
    <x v="114"/>
    <x v="0"/>
    <x v="6"/>
    <s v="Arrear and reval fee"/>
    <n v="-1400"/>
    <x v="0"/>
  </r>
  <r>
    <x v="115"/>
    <x v="0"/>
    <x v="7"/>
    <s v="Salary"/>
    <n v="8000"/>
    <x v="1"/>
  </r>
  <r>
    <x v="116"/>
    <x v="0"/>
    <x v="0"/>
    <s v="Lunch with company"/>
    <n v="-106"/>
    <x v="0"/>
  </r>
  <r>
    <x v="117"/>
    <x v="0"/>
    <x v="1"/>
    <s v="To vicky"/>
    <n v="-80"/>
    <x v="0"/>
  </r>
  <r>
    <x v="118"/>
    <x v="0"/>
    <x v="0"/>
    <s v="Sent to preethi"/>
    <n v="-107"/>
    <x v="0"/>
  </r>
  <r>
    <x v="119"/>
    <x v="0"/>
    <x v="0"/>
    <s v="Dairy milk"/>
    <n v="-10"/>
    <x v="0"/>
  </r>
  <r>
    <x v="120"/>
    <x v="0"/>
    <x v="1"/>
    <s v="From barath"/>
    <n v="201"/>
    <x v="1"/>
  </r>
  <r>
    <x v="121"/>
    <x v="0"/>
    <x v="1"/>
    <s v="From gpay"/>
    <n v="5"/>
    <x v="1"/>
  </r>
  <r>
    <x v="122"/>
    <x v="0"/>
    <x v="1"/>
    <s v="From shakur"/>
    <n v="140"/>
    <x v="1"/>
  </r>
  <r>
    <x v="123"/>
    <x v="0"/>
    <x v="0"/>
    <s v="Lunch unlimited nv"/>
    <n v="-300"/>
    <x v="0"/>
  </r>
  <r>
    <x v="124"/>
    <x v="0"/>
    <x v="1"/>
    <s v="From abi"/>
    <n v="300"/>
    <x v="1"/>
  </r>
  <r>
    <x v="125"/>
    <x v="0"/>
    <x v="1"/>
    <s v="Tablet to gowdham"/>
    <n v="-8"/>
    <x v="0"/>
  </r>
  <r>
    <x v="126"/>
    <x v="0"/>
    <x v="0"/>
    <s v="Dinner with barath"/>
    <n v="-200"/>
    <x v="0"/>
  </r>
  <r>
    <x v="127"/>
    <x v="0"/>
    <x v="2"/>
    <s v="Train to vnr"/>
    <n v="-725"/>
    <x v="0"/>
  </r>
  <r>
    <x v="128"/>
    <x v="0"/>
    <x v="0"/>
    <s v="Snacks"/>
    <n v="-85"/>
    <x v="0"/>
  </r>
  <r>
    <x v="129"/>
    <x v="0"/>
    <x v="8"/>
    <s v="From dad"/>
    <n v="1000"/>
    <x v="1"/>
  </r>
  <r>
    <x v="130"/>
    <x v="0"/>
    <x v="0"/>
    <s v="To barath"/>
    <n v="-20"/>
    <x v="0"/>
  </r>
  <r>
    <x v="131"/>
    <x v="0"/>
    <x v="2"/>
    <s v="Pg to office"/>
    <n v="-43"/>
    <x v="0"/>
  </r>
  <r>
    <x v="132"/>
    <x v="0"/>
    <x v="1"/>
    <s v="From kumara"/>
    <n v="30"/>
    <x v="1"/>
  </r>
  <r>
    <x v="133"/>
    <x v="0"/>
    <x v="0"/>
    <s v="Horlicks + kolakattai"/>
    <n v="-25"/>
    <x v="0"/>
  </r>
  <r>
    <x v="134"/>
    <x v="0"/>
    <x v="2"/>
    <s v="Bommasandra to pg"/>
    <n v="-199"/>
    <x v="0"/>
  </r>
  <r>
    <x v="135"/>
    <x v="0"/>
    <x v="1"/>
    <s v="From Deepak"/>
    <n v="250"/>
    <x v="1"/>
  </r>
  <r>
    <x v="136"/>
    <x v="0"/>
    <x v="0"/>
    <s v="Water"/>
    <n v="-20"/>
    <x v="0"/>
  </r>
  <r>
    <x v="136"/>
    <x v="0"/>
    <x v="1"/>
    <s v="From abi"/>
    <n v="20"/>
    <x v="1"/>
  </r>
  <r>
    <x v="136"/>
    <x v="0"/>
    <x v="2"/>
    <s v="Rapido + toll"/>
    <n v="-286"/>
    <x v="0"/>
  </r>
  <r>
    <x v="137"/>
    <x v="0"/>
    <x v="1"/>
    <s v="From Deepak"/>
    <n v="250"/>
    <x v="1"/>
  </r>
  <r>
    <x v="138"/>
    <x v="0"/>
    <x v="0"/>
    <s v="Coffee and thattai"/>
    <n v="-14"/>
    <x v="0"/>
  </r>
  <r>
    <x v="139"/>
    <x v="0"/>
    <x v="0"/>
    <s v="Lunch with barath"/>
    <n v="-115"/>
    <x v="0"/>
  </r>
  <r>
    <x v="140"/>
    <x v="0"/>
    <x v="1"/>
    <s v="From vicky"/>
    <n v="80"/>
    <x v="1"/>
  </r>
  <r>
    <x v="141"/>
    <x v="0"/>
    <x v="1"/>
    <s v="From ganesan"/>
    <n v="40"/>
    <x v="1"/>
  </r>
  <r>
    <x v="141"/>
    <x v="0"/>
    <x v="0"/>
    <s v="Coconut water with stu"/>
    <n v="-50"/>
    <x v="0"/>
  </r>
  <r>
    <x v="142"/>
    <x v="0"/>
    <x v="0"/>
    <s v="Dinner with barath"/>
    <n v="-504"/>
    <x v="0"/>
  </r>
  <r>
    <x v="143"/>
    <x v="0"/>
    <x v="2"/>
    <s v="Cab"/>
    <n v="-306"/>
    <x v="0"/>
  </r>
  <r>
    <x v="144"/>
    <x v="0"/>
    <x v="9"/>
    <s v="Books"/>
    <n v="-400"/>
    <x v="0"/>
  </r>
  <r>
    <x v="145"/>
    <x v="0"/>
    <x v="0"/>
    <s v="Corn"/>
    <n v="-30"/>
    <x v="0"/>
  </r>
  <r>
    <x v="146"/>
    <x v="0"/>
    <x v="0"/>
    <s v="Water"/>
    <n v="-30"/>
    <x v="0"/>
  </r>
  <r>
    <x v="147"/>
    <x v="0"/>
    <x v="0"/>
    <s v="Milk with bharath"/>
    <n v="-40"/>
    <x v="0"/>
  </r>
  <r>
    <x v="148"/>
    <x v="0"/>
    <x v="5"/>
    <s v="Beer"/>
    <n v="-150"/>
    <x v="0"/>
  </r>
  <r>
    <x v="149"/>
    <x v="0"/>
    <x v="0"/>
    <s v="Lunch with company"/>
    <n v="-262"/>
    <x v="0"/>
  </r>
  <r>
    <x v="150"/>
    <x v="0"/>
    <x v="0"/>
    <s v="Lemon tea with company"/>
    <n v="-15"/>
    <x v="0"/>
  </r>
  <r>
    <x v="151"/>
    <x v="0"/>
    <x v="0"/>
    <s v="Puffs and coffee"/>
    <n v="-32"/>
    <x v="0"/>
  </r>
  <r>
    <x v="152"/>
    <x v="0"/>
    <x v="0"/>
    <s v="Dinner with barath"/>
    <n v="-239"/>
    <x v="0"/>
  </r>
  <r>
    <x v="153"/>
    <x v="0"/>
    <x v="0"/>
    <s v="Puffs"/>
    <n v="-25"/>
    <x v="0"/>
  </r>
  <r>
    <x v="154"/>
    <x v="0"/>
    <x v="0"/>
    <s v="Bun"/>
    <n v="-18"/>
    <x v="0"/>
  </r>
  <r>
    <x v="155"/>
    <x v="0"/>
    <x v="0"/>
    <s v="Milk with bharath"/>
    <n v="-80"/>
    <x v="0"/>
  </r>
  <r>
    <x v="156"/>
    <x v="0"/>
    <x v="2"/>
    <s v="Taxi"/>
    <n v="-80"/>
    <x v="0"/>
  </r>
  <r>
    <x v="157"/>
    <x v="0"/>
    <x v="0"/>
    <s v="Snacks"/>
    <n v="-20"/>
    <x v="0"/>
  </r>
  <r>
    <x v="158"/>
    <x v="0"/>
    <x v="0"/>
    <s v="Water"/>
    <n v="-20"/>
    <x v="0"/>
  </r>
  <r>
    <x v="159"/>
    <x v="0"/>
    <x v="0"/>
    <s v="Lunch with barath"/>
    <n v="-85"/>
    <x v="0"/>
  </r>
  <r>
    <x v="160"/>
    <x v="0"/>
    <x v="0"/>
    <s v="Milk with bharath"/>
    <n v="-40"/>
    <x v="0"/>
  </r>
  <r>
    <x v="161"/>
    <x v="0"/>
    <x v="1"/>
    <s v="To siva"/>
    <n v="-100"/>
    <x v="0"/>
  </r>
  <r>
    <x v="162"/>
    <x v="0"/>
    <x v="1"/>
    <s v="To kumara"/>
    <n v="-100"/>
    <x v="0"/>
  </r>
  <r>
    <x v="162"/>
    <x v="0"/>
    <x v="1"/>
    <s v="To abijith"/>
    <n v="-200"/>
    <x v="0"/>
  </r>
  <r>
    <x v="163"/>
    <x v="0"/>
    <x v="0"/>
    <s v="To rahul"/>
    <n v="-113"/>
    <x v="0"/>
  </r>
  <r>
    <x v="163"/>
    <x v="0"/>
    <x v="8"/>
    <s v="From dad"/>
    <n v="1000"/>
    <x v="1"/>
  </r>
  <r>
    <x v="164"/>
    <x v="0"/>
    <x v="1"/>
    <s v="Lended money"/>
    <n v="400"/>
    <x v="1"/>
  </r>
  <r>
    <x v="165"/>
    <x v="0"/>
    <x v="5"/>
    <s v="Spiderman "/>
    <n v="-363.72"/>
    <x v="0"/>
  </r>
  <r>
    <x v="166"/>
    <x v="0"/>
    <x v="0"/>
    <s v="Lunch"/>
    <n v="-160"/>
    <x v="0"/>
  </r>
  <r>
    <x v="167"/>
    <x v="0"/>
    <x v="0"/>
    <s v="Milk with bharath"/>
    <n v="-70"/>
    <x v="0"/>
  </r>
  <r>
    <x v="168"/>
    <x v="0"/>
    <x v="0"/>
    <s v="Lunch with company"/>
    <n v="-110"/>
    <x v="0"/>
  </r>
  <r>
    <x v="169"/>
    <x v="0"/>
    <x v="1"/>
    <s v="Gave to gowdham"/>
    <n v="-50"/>
    <x v="0"/>
  </r>
  <r>
    <x v="170"/>
    <x v="0"/>
    <x v="0"/>
    <s v="Egg"/>
    <n v="-30"/>
    <x v="0"/>
  </r>
  <r>
    <x v="171"/>
    <x v="0"/>
    <x v="0"/>
    <s v="Panipoori"/>
    <n v="-20"/>
    <x v="0"/>
  </r>
  <r>
    <x v="172"/>
    <x v="0"/>
    <x v="0"/>
    <s v="Lunch"/>
    <n v="-30"/>
    <x v="0"/>
  </r>
  <r>
    <x v="173"/>
    <x v="0"/>
    <x v="0"/>
    <s v="Milk with bharath"/>
    <n v="-110"/>
    <x v="0"/>
  </r>
  <r>
    <x v="174"/>
    <x v="0"/>
    <x v="0"/>
    <s v="Lunch"/>
    <n v="-40"/>
    <x v="0"/>
  </r>
  <r>
    <x v="175"/>
    <x v="0"/>
    <x v="0"/>
    <s v="Snacks"/>
    <n v="-75"/>
    <x v="0"/>
  </r>
  <r>
    <x v="176"/>
    <x v="0"/>
    <x v="0"/>
    <s v="Panipoori"/>
    <n v="-80"/>
    <x v="0"/>
  </r>
  <r>
    <x v="177"/>
    <x v="0"/>
    <x v="0"/>
    <s v="Snacks"/>
    <n v="-74"/>
    <x v="0"/>
  </r>
  <r>
    <x v="178"/>
    <x v="0"/>
    <x v="0"/>
    <s v="Milk with bharath"/>
    <n v="-65"/>
    <x v="0"/>
  </r>
  <r>
    <x v="179"/>
    <x v="0"/>
    <x v="0"/>
    <s v="Milk with bharath"/>
    <n v="-25"/>
    <x v="0"/>
  </r>
  <r>
    <x v="180"/>
    <x v="0"/>
    <x v="8"/>
    <s v="From dad"/>
    <n v="1000"/>
    <x v="1"/>
  </r>
  <r>
    <x v="181"/>
    <x v="0"/>
    <x v="1"/>
    <s v="From stu"/>
    <n v="240"/>
    <x v="1"/>
  </r>
  <r>
    <x v="182"/>
    <x v="0"/>
    <x v="0"/>
    <s v="Shopping"/>
    <n v="-241"/>
    <x v="0"/>
  </r>
  <r>
    <x v="183"/>
    <x v="0"/>
    <x v="0"/>
    <s v="Momos"/>
    <n v="-195"/>
    <x v="0"/>
  </r>
  <r>
    <x v="184"/>
    <x v="0"/>
    <x v="0"/>
    <s v="Snack with bharath"/>
    <n v="-40"/>
    <x v="0"/>
  </r>
  <r>
    <x v="185"/>
    <x v="0"/>
    <x v="0"/>
    <s v="Lunch with company"/>
    <n v="-280"/>
    <x v="0"/>
  </r>
  <r>
    <x v="186"/>
    <x v="0"/>
    <x v="0"/>
    <s v="Milk with bharath"/>
    <n v="-25"/>
    <x v="0"/>
  </r>
  <r>
    <x v="187"/>
    <x v="0"/>
    <x v="0"/>
    <s v="Breakfast with stu"/>
    <n v="-110"/>
    <x v="0"/>
  </r>
  <r>
    <x v="188"/>
    <x v="0"/>
    <x v="0"/>
    <s v="Lunch with stu"/>
    <n v="-100"/>
    <x v="0"/>
  </r>
  <r>
    <x v="188"/>
    <x v="1"/>
    <x v="0"/>
    <s v="5 star"/>
    <n v="-1120.72"/>
    <x v="0"/>
  </r>
  <r>
    <x v="189"/>
    <x v="0"/>
    <x v="0"/>
    <s v="Milk"/>
    <n v="-10"/>
    <x v="0"/>
  </r>
  <r>
    <x v="190"/>
    <x v="0"/>
    <x v="0"/>
    <s v="Milk with bharath"/>
    <n v="-25"/>
    <x v="0"/>
  </r>
  <r>
    <x v="191"/>
    <x v="0"/>
    <x v="0"/>
    <s v="Horlicks"/>
    <n v="-15"/>
    <x v="0"/>
  </r>
  <r>
    <x v="192"/>
    <x v="0"/>
    <x v="0"/>
    <s v="Milk with bharath"/>
    <n v="-25"/>
    <x v="0"/>
  </r>
  <r>
    <x v="193"/>
    <x v="0"/>
    <x v="3"/>
    <s v="Shoe"/>
    <n v="-500"/>
    <x v="0"/>
  </r>
  <r>
    <x v="194"/>
    <x v="0"/>
    <x v="3"/>
    <s v="Cap"/>
    <n v="-140"/>
    <x v="0"/>
  </r>
  <r>
    <x v="195"/>
    <x v="0"/>
    <x v="0"/>
    <s v="Lunch with stu"/>
    <n v="-150"/>
    <x v="0"/>
  </r>
  <r>
    <x v="196"/>
    <x v="0"/>
    <x v="0"/>
    <s v="Milk with bharath"/>
    <n v="-25"/>
    <x v="0"/>
  </r>
  <r>
    <x v="197"/>
    <x v="0"/>
    <x v="3"/>
    <s v="Full hand and a hoodie"/>
    <n v="-1800"/>
    <x v="0"/>
  </r>
  <r>
    <x v="198"/>
    <x v="0"/>
    <x v="4"/>
    <s v="Rent"/>
    <n v="-4800"/>
    <x v="0"/>
  </r>
  <r>
    <x v="198"/>
    <x v="0"/>
    <x v="8"/>
    <s v="From dad"/>
    <n v="8000"/>
    <x v="1"/>
  </r>
  <r>
    <x v="199"/>
    <x v="0"/>
    <x v="0"/>
    <s v="Dinner"/>
    <n v="-324"/>
    <x v="0"/>
  </r>
  <r>
    <x v="200"/>
    <x v="0"/>
    <x v="0"/>
    <s v="Snack"/>
    <n v="-65"/>
    <x v="0"/>
  </r>
  <r>
    <x v="201"/>
    <x v="0"/>
    <x v="1"/>
    <s v="For company"/>
    <n v="-30"/>
    <x v="0"/>
  </r>
  <r>
    <x v="202"/>
    <x v="0"/>
    <x v="0"/>
    <s v="Breakfast"/>
    <n v="-200"/>
    <x v="0"/>
  </r>
  <r>
    <x v="203"/>
    <x v="0"/>
    <x v="0"/>
    <s v="Milk with bharath"/>
    <n v="-25"/>
    <x v="0"/>
  </r>
  <r>
    <x v="203"/>
    <x v="0"/>
    <x v="3"/>
    <s v="Belt"/>
    <n v="-130"/>
    <x v="0"/>
  </r>
  <r>
    <x v="204"/>
    <x v="0"/>
    <x v="3"/>
    <s v="Mask"/>
    <n v="-20"/>
    <x v="0"/>
  </r>
  <r>
    <x v="204"/>
    <x v="0"/>
    <x v="0"/>
    <s v="Snack"/>
    <n v="-40"/>
    <x v="0"/>
  </r>
  <r>
    <x v="204"/>
    <x v="0"/>
    <x v="8"/>
    <s v="From dad"/>
    <n v="1000"/>
    <x v="1"/>
  </r>
  <r>
    <x v="205"/>
    <x v="0"/>
    <x v="0"/>
    <s v="Ice cream"/>
    <n v="-504"/>
    <x v="0"/>
  </r>
  <r>
    <x v="206"/>
    <x v="0"/>
    <x v="0"/>
    <s v="Vadapaav"/>
    <n v="-75"/>
    <x v="0"/>
  </r>
  <r>
    <x v="207"/>
    <x v="0"/>
    <x v="10"/>
    <s v="Showergel"/>
    <n v="-196"/>
    <x v="0"/>
  </r>
  <r>
    <x v="208"/>
    <x v="0"/>
    <x v="0"/>
    <s v="Lunch with company"/>
    <n v="-160"/>
    <x v="0"/>
  </r>
  <r>
    <x v="209"/>
    <x v="0"/>
    <x v="11"/>
    <s v="Bharath birthday"/>
    <n v="-115"/>
    <x v="0"/>
  </r>
  <r>
    <x v="210"/>
    <x v="0"/>
    <x v="0"/>
    <s v="Lunch with company"/>
    <n v="-128"/>
    <x v="0"/>
  </r>
  <r>
    <x v="211"/>
    <x v="0"/>
    <x v="0"/>
    <s v="Breakfast"/>
    <n v="-70"/>
    <x v="0"/>
  </r>
  <r>
    <x v="212"/>
    <x v="0"/>
    <x v="0"/>
    <s v="Lunch with company"/>
    <n v="-40"/>
    <x v="0"/>
  </r>
  <r>
    <x v="212"/>
    <x v="0"/>
    <x v="0"/>
    <s v="Dinner"/>
    <n v="-50"/>
    <x v="0"/>
  </r>
  <r>
    <x v="213"/>
    <x v="0"/>
    <x v="0"/>
    <s v="Panipoori"/>
    <n v="-40"/>
    <x v="0"/>
  </r>
  <r>
    <x v="214"/>
    <x v="0"/>
    <x v="0"/>
    <s v="Breakfast"/>
    <n v="-40"/>
    <x v="0"/>
  </r>
  <r>
    <x v="215"/>
    <x v="0"/>
    <x v="0"/>
    <s v="Snack"/>
    <n v="-94"/>
    <x v="0"/>
  </r>
  <r>
    <x v="216"/>
    <x v="0"/>
    <x v="0"/>
    <s v="Zomato"/>
    <n v="-269.39999999999998"/>
    <x v="0"/>
  </r>
  <r>
    <x v="217"/>
    <x v="0"/>
    <x v="0"/>
    <s v="Dinner with gowdham"/>
    <n v="-120"/>
    <x v="0"/>
  </r>
  <r>
    <x v="218"/>
    <x v="0"/>
    <x v="0"/>
    <s v="Dinner with gowdham"/>
    <n v="-130"/>
    <x v="0"/>
  </r>
  <r>
    <x v="219"/>
    <x v="0"/>
    <x v="2"/>
    <s v="Rapido"/>
    <n v="-35"/>
    <x v="0"/>
  </r>
  <r>
    <x v="220"/>
    <x v="0"/>
    <x v="0"/>
    <s v="Lunch with company"/>
    <n v="-75"/>
    <x v="0"/>
  </r>
  <r>
    <x v="220"/>
    <x v="0"/>
    <x v="8"/>
    <s v="From dad"/>
    <n v="2000"/>
    <x v="1"/>
  </r>
  <r>
    <x v="221"/>
    <x v="0"/>
    <x v="0"/>
    <s v="Breakfast"/>
    <n v="-30"/>
    <x v="0"/>
  </r>
  <r>
    <x v="222"/>
    <x v="0"/>
    <x v="0"/>
    <s v="Beer"/>
    <n v="-150"/>
    <x v="0"/>
  </r>
  <r>
    <x v="223"/>
    <x v="0"/>
    <x v="0"/>
    <s v="Snack"/>
    <n v="-102"/>
    <x v="0"/>
  </r>
  <r>
    <x v="224"/>
    <x v="0"/>
    <x v="0"/>
    <s v="Panipoori"/>
    <n v="-40"/>
    <x v="0"/>
  </r>
  <r>
    <x v="225"/>
    <x v="0"/>
    <x v="12"/>
    <s v="Cashback"/>
    <n v="3"/>
    <x v="1"/>
  </r>
  <r>
    <x v="225"/>
    <x v="0"/>
    <x v="0"/>
    <s v="Lunch with company"/>
    <n v="-150"/>
    <x v="0"/>
  </r>
  <r>
    <x v="226"/>
    <x v="0"/>
    <x v="0"/>
    <s v="Breakfast"/>
    <n v="-60"/>
    <x v="0"/>
  </r>
  <r>
    <x v="227"/>
    <x v="0"/>
    <x v="0"/>
    <s v="Lunch with company"/>
    <n v="-145"/>
    <x v="0"/>
  </r>
  <r>
    <x v="227"/>
    <x v="0"/>
    <x v="2"/>
    <s v="Rapido"/>
    <n v="-58"/>
    <x v="0"/>
  </r>
  <r>
    <x v="227"/>
    <x v="0"/>
    <x v="0"/>
    <s v="Dinner"/>
    <n v="-95"/>
    <x v="0"/>
  </r>
  <r>
    <x v="228"/>
    <x v="0"/>
    <x v="0"/>
    <s v="Snack"/>
    <n v="-15"/>
    <x v="0"/>
  </r>
  <r>
    <x v="229"/>
    <x v="0"/>
    <x v="0"/>
    <s v="Dinner"/>
    <n v="-70"/>
    <x v="0"/>
  </r>
  <r>
    <x v="230"/>
    <x v="0"/>
    <x v="0"/>
    <s v="Panipoori"/>
    <n v="-20"/>
    <x v="0"/>
  </r>
  <r>
    <x v="230"/>
    <x v="0"/>
    <x v="2"/>
    <s v="Rapido"/>
    <n v="-58"/>
    <x v="0"/>
  </r>
  <r>
    <x v="231"/>
    <x v="0"/>
    <x v="2"/>
    <s v="Rapido"/>
    <n v="-50"/>
    <x v="0"/>
  </r>
  <r>
    <x v="231"/>
    <x v="0"/>
    <x v="0"/>
    <s v="Dinner"/>
    <n v="-179"/>
    <x v="0"/>
  </r>
  <r>
    <x v="232"/>
    <x v="0"/>
    <x v="0"/>
    <s v="Dinner"/>
    <n v="-90"/>
    <x v="0"/>
  </r>
  <r>
    <x v="232"/>
    <x v="0"/>
    <x v="0"/>
    <s v="Lunch with company"/>
    <n v="-97"/>
    <x v="0"/>
  </r>
  <r>
    <x v="233"/>
    <x v="0"/>
    <x v="2"/>
    <s v="Rapido"/>
    <n v="-130"/>
    <x v="0"/>
  </r>
  <r>
    <x v="234"/>
    <x v="0"/>
    <x v="0"/>
    <s v="Lunch"/>
    <n v="-875"/>
    <x v="0"/>
  </r>
  <r>
    <x v="235"/>
    <x v="0"/>
    <x v="1"/>
    <s v="Got from gobi"/>
    <n v="2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FE2B8-C285-4A00-8342-7A173BC0C773}"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4">
  <location ref="A3:B16" firstHeaderRow="1" firstDataRow="1" firstDataCol="1"/>
  <pivotFields count="6">
    <pivotField showAll="0">
      <items count="237">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69"/>
        <item h="1" x="68"/>
        <item h="1" x="70"/>
        <item h="1" x="67"/>
        <item h="1" x="66"/>
        <item h="1" x="65"/>
        <item h="1" x="64"/>
        <item h="1" x="63"/>
        <item h="1" x="62"/>
        <item h="1" x="61"/>
        <item h="1" x="60"/>
        <item h="1" x="59"/>
        <item h="1" x="58"/>
        <item h="1" x="57"/>
        <item h="1" x="56"/>
        <item h="1" x="55"/>
        <item h="1" x="54"/>
        <item h="1" x="53"/>
        <item h="1" x="52"/>
        <item h="1" x="235"/>
        <item h="1" x="234"/>
        <item h="1" x="233"/>
        <item h="1" x="232"/>
        <item h="1" x="231"/>
        <item h="1" x="230"/>
        <item h="1" x="229"/>
        <item h="1" x="228"/>
        <item h="1" x="227"/>
        <item h="1" x="225"/>
        <item h="1" x="224"/>
        <item h="1" x="223"/>
        <item h="1" x="222"/>
        <item h="1" x="226"/>
        <item h="1" x="220"/>
        <item h="1" x="219"/>
        <item h="1" x="218"/>
        <item h="1" x="217"/>
        <item h="1" x="221"/>
        <item h="1" x="216"/>
        <item h="1" x="215"/>
        <item h="1" x="213"/>
        <item h="1" x="212"/>
        <item h="1" x="214"/>
        <item h="1" x="211"/>
        <item h="1" x="210"/>
        <item h="1" x="209"/>
        <item h="1" x="178"/>
        <item h="1" x="177"/>
        <item h="1" x="176"/>
        <item h="1" x="175"/>
        <item h="1" x="174"/>
        <item h="1" x="173"/>
        <item h="1" x="172"/>
        <item h="1" x="171"/>
        <item h="1" x="170"/>
        <item h="1" x="168"/>
        <item h="1" x="167"/>
        <item h="1" x="169"/>
        <item h="1" x="166"/>
        <item h="1" x="165"/>
        <item h="1" x="164"/>
        <item h="1" x="163"/>
        <item h="1" x="162"/>
        <item h="1" x="161"/>
        <item h="1" x="159"/>
        <item h="1" x="158"/>
        <item h="1" x="157"/>
        <item h="1" x="156"/>
        <item h="1" x="155"/>
        <item h="1" x="160"/>
        <item h="1" x="154"/>
        <item h="1"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32"/>
        <item h="1" x="31"/>
        <item h="1" x="30"/>
        <item h="1" x="29"/>
        <item h="1" x="25"/>
        <item h="1" x="24"/>
        <item h="1" x="23"/>
        <item h="1" x="22"/>
        <item h="1" x="28"/>
        <item h="1" x="27"/>
        <item h="1" x="26"/>
        <item h="1" x="21"/>
        <item h="1" x="20"/>
        <item h="1" x="19"/>
        <item h="1" x="18"/>
        <item h="1" x="17"/>
        <item h="1" x="16"/>
        <item h="1" x="15"/>
        <item h="1" x="14"/>
        <item h="1" x="13"/>
        <item h="1" x="12"/>
        <item h="1" x="11"/>
        <item h="1" x="10"/>
        <item h="1" x="9"/>
        <item h="1" x="8"/>
        <item h="1" x="7"/>
        <item h="1" x="6"/>
        <item h="1" x="5"/>
        <item h="1" x="208"/>
        <item h="1" x="207"/>
        <item h="1" x="206"/>
        <item h="1" x="205"/>
        <item h="1" x="204"/>
        <item h="1" x="203"/>
        <item h="1" x="202"/>
        <item h="1" x="201"/>
        <item h="1" x="200"/>
        <item h="1" x="199"/>
        <item h="1" x="198"/>
        <item h="1" x="197"/>
        <item h="1" x="196"/>
        <item h="1" x="195"/>
        <item h="1" x="194"/>
        <item h="1" x="193"/>
        <item h="1" x="192"/>
        <item h="1" x="191"/>
        <item h="1" x="190"/>
        <item h="1" x="189"/>
        <item h="1" x="188"/>
        <item h="1" x="187"/>
        <item h="1" x="186"/>
        <item h="1" x="185"/>
        <item h="1" x="184"/>
        <item h="1" x="183"/>
        <item h="1" x="182"/>
        <item h="1" x="181"/>
        <item h="1" x="180"/>
        <item h="1" x="179"/>
        <item h="1" x="129"/>
        <item h="1" x="128"/>
        <item h="1" x="4"/>
        <item h="1" x="3"/>
        <item h="1" x="2"/>
        <item h="1" x="1"/>
        <item h="1" x="127"/>
        <item h="1" x="126"/>
        <item h="1" x="125"/>
        <item h="1" x="51"/>
        <item h="1" x="50"/>
        <item h="1" x="0"/>
        <item h="1" x="124"/>
        <item h="1" x="123"/>
        <item h="1" x="122"/>
        <item h="1" x="121"/>
        <item h="1" x="120"/>
        <item h="1" x="119"/>
        <item h="1" x="49"/>
        <item h="1" x="48"/>
        <item h="1" x="118"/>
        <item h="1" x="117"/>
        <item h="1" x="116"/>
        <item h="1" x="115"/>
        <item h="1" x="114"/>
        <item h="1" x="47"/>
        <item h="1" x="113"/>
        <item h="1" x="112"/>
        <item h="1" x="111"/>
        <item h="1" x="110"/>
        <item h="1" x="109"/>
        <item h="1" x="108"/>
        <item h="1" x="107"/>
        <item h="1" x="106"/>
        <item h="1" x="105"/>
        <item h="1" x="104"/>
        <item h="1" x="103"/>
        <item h="1" x="102"/>
        <item h="1" x="46"/>
        <item h="1" x="45"/>
        <item h="1" x="44"/>
        <item h="1" x="43"/>
        <item h="1" x="42"/>
        <item h="1" x="101"/>
        <item h="1" x="41"/>
        <item h="1" x="100"/>
        <item h="1" x="99"/>
        <item h="1" x="98"/>
        <item x="40"/>
        <item x="39"/>
        <item x="97"/>
        <item x="38"/>
        <item x="96"/>
        <item h="1" x="37"/>
        <item h="1" x="95"/>
        <item h="1" x="94"/>
        <item h="1" x="36"/>
        <item h="1" x="35"/>
        <item h="1" x="34"/>
        <item h="1" x="33"/>
        <item t="default"/>
      </items>
    </pivotField>
    <pivotField showAll="0">
      <items count="3">
        <item x="1"/>
        <item x="0"/>
        <item t="default"/>
      </items>
    </pivotField>
    <pivotField axis="axisRow" showAll="0">
      <items count="14">
        <item x="8"/>
        <item x="3"/>
        <item x="10"/>
        <item x="6"/>
        <item x="0"/>
        <item x="11"/>
        <item x="4"/>
        <item x="1"/>
        <item x="12"/>
        <item x="7"/>
        <item x="9"/>
        <item x="5"/>
        <item x="2"/>
        <item t="default"/>
      </items>
    </pivotField>
    <pivotField showAll="0"/>
    <pivotField dataField="1" showAll="0"/>
    <pivotField showAll="0">
      <items count="3">
        <item x="0"/>
        <item x="1"/>
        <item t="default"/>
      </items>
    </pivotField>
  </pivotFields>
  <rowFields count="1">
    <field x="2"/>
  </rowFields>
  <rowItems count="13">
    <i>
      <x/>
    </i>
    <i>
      <x v="1"/>
    </i>
    <i>
      <x v="2"/>
    </i>
    <i>
      <x v="3"/>
    </i>
    <i>
      <x v="4"/>
    </i>
    <i>
      <x v="5"/>
    </i>
    <i>
      <x v="6"/>
    </i>
    <i>
      <x v="7"/>
    </i>
    <i>
      <x v="8"/>
    </i>
    <i>
      <x v="9"/>
    </i>
    <i>
      <x v="10"/>
    </i>
    <i>
      <x v="11"/>
    </i>
    <i>
      <x v="12"/>
    </i>
  </rowItems>
  <colItems count="1">
    <i/>
  </colItems>
  <dataFields count="1">
    <dataField name="Sum of INR" fld="4" baseField="0" baseItem="0"/>
  </dataFields>
  <chartFormats count="43">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6" format="6">
      <pivotArea type="data" outline="0" fieldPosition="0">
        <references count="2">
          <reference field="4294967294" count="1" selected="0">
            <x v="0"/>
          </reference>
          <reference field="2" count="1" selected="0">
            <x v="5"/>
          </reference>
        </references>
      </pivotArea>
    </chartFormat>
    <chartFormat chart="6" format="7">
      <pivotArea type="data" outline="0" fieldPosition="0">
        <references count="2">
          <reference field="4294967294" count="1" selected="0">
            <x v="0"/>
          </reference>
          <reference field="2" count="1" selected="0">
            <x v="6"/>
          </reference>
        </references>
      </pivotArea>
    </chartFormat>
    <chartFormat chart="6" format="8">
      <pivotArea type="data" outline="0" fieldPosition="0">
        <references count="2">
          <reference field="4294967294" count="1" selected="0">
            <x v="0"/>
          </reference>
          <reference field="2" count="1" selected="0">
            <x v="7"/>
          </reference>
        </references>
      </pivotArea>
    </chartFormat>
    <chartFormat chart="6" format="9">
      <pivotArea type="data" outline="0" fieldPosition="0">
        <references count="2">
          <reference field="4294967294" count="1" selected="0">
            <x v="0"/>
          </reference>
          <reference field="2" count="1" selected="0">
            <x v="8"/>
          </reference>
        </references>
      </pivotArea>
    </chartFormat>
    <chartFormat chart="6" format="10">
      <pivotArea type="data" outline="0" fieldPosition="0">
        <references count="2">
          <reference field="4294967294" count="1" selected="0">
            <x v="0"/>
          </reference>
          <reference field="2" count="1" selected="0">
            <x v="9"/>
          </reference>
        </references>
      </pivotArea>
    </chartFormat>
    <chartFormat chart="6" format="11">
      <pivotArea type="data" outline="0" fieldPosition="0">
        <references count="2">
          <reference field="4294967294" count="1" selected="0">
            <x v="0"/>
          </reference>
          <reference field="2" count="1" selected="0">
            <x v="10"/>
          </reference>
        </references>
      </pivotArea>
    </chartFormat>
    <chartFormat chart="6" format="12">
      <pivotArea type="data" outline="0" fieldPosition="0">
        <references count="2">
          <reference field="4294967294" count="1" selected="0">
            <x v="0"/>
          </reference>
          <reference field="2" count="1" selected="0">
            <x v="11"/>
          </reference>
        </references>
      </pivotArea>
    </chartFormat>
    <chartFormat chart="6" format="13">
      <pivotArea type="data" outline="0" fieldPosition="0">
        <references count="2">
          <reference field="4294967294" count="1" selected="0">
            <x v="0"/>
          </reference>
          <reference field="2" count="1" selected="0">
            <x v="12"/>
          </reference>
        </references>
      </pivotArea>
    </chartFormat>
    <chartFormat chart="21" format="3" series="1">
      <pivotArea type="data" outline="0" fieldPosition="0">
        <references count="1">
          <reference field="4294967294" count="1" selected="0">
            <x v="0"/>
          </reference>
        </references>
      </pivotArea>
    </chartFormat>
    <chartFormat chart="27" format="28" series="1">
      <pivotArea type="data" outline="0" fieldPosition="0">
        <references count="1">
          <reference field="4294967294" count="1" selected="0">
            <x v="0"/>
          </reference>
        </references>
      </pivotArea>
    </chartFormat>
    <chartFormat chart="27" format="29">
      <pivotArea type="data" outline="0" fieldPosition="0">
        <references count="2">
          <reference field="4294967294" count="1" selected="0">
            <x v="0"/>
          </reference>
          <reference field="2" count="1" selected="0">
            <x v="0"/>
          </reference>
        </references>
      </pivotArea>
    </chartFormat>
    <chartFormat chart="27" format="30">
      <pivotArea type="data" outline="0" fieldPosition="0">
        <references count="2">
          <reference field="4294967294" count="1" selected="0">
            <x v="0"/>
          </reference>
          <reference field="2" count="1" selected="0">
            <x v="1"/>
          </reference>
        </references>
      </pivotArea>
    </chartFormat>
    <chartFormat chart="27" format="31">
      <pivotArea type="data" outline="0" fieldPosition="0">
        <references count="2">
          <reference field="4294967294" count="1" selected="0">
            <x v="0"/>
          </reference>
          <reference field="2" count="1" selected="0">
            <x v="2"/>
          </reference>
        </references>
      </pivotArea>
    </chartFormat>
    <chartFormat chart="27" format="32">
      <pivotArea type="data" outline="0" fieldPosition="0">
        <references count="2">
          <reference field="4294967294" count="1" selected="0">
            <x v="0"/>
          </reference>
          <reference field="2" count="1" selected="0">
            <x v="3"/>
          </reference>
        </references>
      </pivotArea>
    </chartFormat>
    <chartFormat chart="27" format="33">
      <pivotArea type="data" outline="0" fieldPosition="0">
        <references count="2">
          <reference field="4294967294" count="1" selected="0">
            <x v="0"/>
          </reference>
          <reference field="2" count="1" selected="0">
            <x v="4"/>
          </reference>
        </references>
      </pivotArea>
    </chartFormat>
    <chartFormat chart="27" format="34">
      <pivotArea type="data" outline="0" fieldPosition="0">
        <references count="2">
          <reference field="4294967294" count="1" selected="0">
            <x v="0"/>
          </reference>
          <reference field="2" count="1" selected="0">
            <x v="5"/>
          </reference>
        </references>
      </pivotArea>
    </chartFormat>
    <chartFormat chart="27" format="35">
      <pivotArea type="data" outline="0" fieldPosition="0">
        <references count="2">
          <reference field="4294967294" count="1" selected="0">
            <x v="0"/>
          </reference>
          <reference field="2" count="1" selected="0">
            <x v="6"/>
          </reference>
        </references>
      </pivotArea>
    </chartFormat>
    <chartFormat chart="27" format="36">
      <pivotArea type="data" outline="0" fieldPosition="0">
        <references count="2">
          <reference field="4294967294" count="1" selected="0">
            <x v="0"/>
          </reference>
          <reference field="2" count="1" selected="0">
            <x v="7"/>
          </reference>
        </references>
      </pivotArea>
    </chartFormat>
    <chartFormat chart="27" format="37">
      <pivotArea type="data" outline="0" fieldPosition="0">
        <references count="2">
          <reference field="4294967294" count="1" selected="0">
            <x v="0"/>
          </reference>
          <reference field="2" count="1" selected="0">
            <x v="8"/>
          </reference>
        </references>
      </pivotArea>
    </chartFormat>
    <chartFormat chart="27" format="38">
      <pivotArea type="data" outline="0" fieldPosition="0">
        <references count="2">
          <reference field="4294967294" count="1" selected="0">
            <x v="0"/>
          </reference>
          <reference field="2" count="1" selected="0">
            <x v="9"/>
          </reference>
        </references>
      </pivotArea>
    </chartFormat>
    <chartFormat chart="27" format="39">
      <pivotArea type="data" outline="0" fieldPosition="0">
        <references count="2">
          <reference field="4294967294" count="1" selected="0">
            <x v="0"/>
          </reference>
          <reference field="2" count="1" selected="0">
            <x v="10"/>
          </reference>
        </references>
      </pivotArea>
    </chartFormat>
    <chartFormat chart="27" format="40">
      <pivotArea type="data" outline="0" fieldPosition="0">
        <references count="2">
          <reference field="4294967294" count="1" selected="0">
            <x v="0"/>
          </reference>
          <reference field="2" count="1" selected="0">
            <x v="11"/>
          </reference>
        </references>
      </pivotArea>
    </chartFormat>
    <chartFormat chart="27" format="41">
      <pivotArea type="data" outline="0" fieldPosition="0">
        <references count="2">
          <reference field="4294967294" count="1" selected="0">
            <x v="0"/>
          </reference>
          <reference field="2" count="1" selected="0">
            <x v="12"/>
          </reference>
        </references>
      </pivotArea>
    </chartFormat>
    <chartFormat chart="36" format="5" series="1">
      <pivotArea type="data" outline="0" fieldPosition="0">
        <references count="1">
          <reference field="4294967294" count="1" selected="0">
            <x v="0"/>
          </reference>
        </references>
      </pivotArea>
    </chartFormat>
    <chartFormat chart="36" format="6">
      <pivotArea type="data" outline="0" fieldPosition="0">
        <references count="2">
          <reference field="4294967294" count="1" selected="0">
            <x v="0"/>
          </reference>
          <reference field="2" count="1" selected="0">
            <x v="0"/>
          </reference>
        </references>
      </pivotArea>
    </chartFormat>
    <chartFormat chart="36" format="7">
      <pivotArea type="data" outline="0" fieldPosition="0">
        <references count="2">
          <reference field="4294967294" count="1" selected="0">
            <x v="0"/>
          </reference>
          <reference field="2" count="1" selected="0">
            <x v="1"/>
          </reference>
        </references>
      </pivotArea>
    </chartFormat>
    <chartFormat chart="36" format="8">
      <pivotArea type="data" outline="0" fieldPosition="0">
        <references count="2">
          <reference field="4294967294" count="1" selected="0">
            <x v="0"/>
          </reference>
          <reference field="2" count="1" selected="0">
            <x v="3"/>
          </reference>
        </references>
      </pivotArea>
    </chartFormat>
    <chartFormat chart="36" format="9">
      <pivotArea type="data" outline="0" fieldPosition="0">
        <references count="2">
          <reference field="4294967294" count="1" selected="0">
            <x v="0"/>
          </reference>
          <reference field="2" count="1" selected="0">
            <x v="4"/>
          </reference>
        </references>
      </pivotArea>
    </chartFormat>
    <chartFormat chart="36" format="10">
      <pivotArea type="data" outline="0" fieldPosition="0">
        <references count="2">
          <reference field="4294967294" count="1" selected="0">
            <x v="0"/>
          </reference>
          <reference field="2" count="1" selected="0">
            <x v="2"/>
          </reference>
        </references>
      </pivotArea>
    </chartFormat>
    <chartFormat chart="36" format="11">
      <pivotArea type="data" outline="0" fieldPosition="0">
        <references count="2">
          <reference field="4294967294" count="1" selected="0">
            <x v="0"/>
          </reference>
          <reference field="2" count="1" selected="0">
            <x v="5"/>
          </reference>
        </references>
      </pivotArea>
    </chartFormat>
    <chartFormat chart="36" format="12">
      <pivotArea type="data" outline="0" fieldPosition="0">
        <references count="2">
          <reference field="4294967294" count="1" selected="0">
            <x v="0"/>
          </reference>
          <reference field="2" count="1" selected="0">
            <x v="6"/>
          </reference>
        </references>
      </pivotArea>
    </chartFormat>
    <chartFormat chart="36" format="13">
      <pivotArea type="data" outline="0" fieldPosition="0">
        <references count="2">
          <reference field="4294967294" count="1" selected="0">
            <x v="0"/>
          </reference>
          <reference field="2" count="1" selected="0">
            <x v="7"/>
          </reference>
        </references>
      </pivotArea>
    </chartFormat>
    <chartFormat chart="36" format="14">
      <pivotArea type="data" outline="0" fieldPosition="0">
        <references count="2">
          <reference field="4294967294" count="1" selected="0">
            <x v="0"/>
          </reference>
          <reference field="2" count="1" selected="0">
            <x v="9"/>
          </reference>
        </references>
      </pivotArea>
    </chartFormat>
    <chartFormat chart="36" format="15">
      <pivotArea type="data" outline="0" fieldPosition="0">
        <references count="2">
          <reference field="4294967294" count="1" selected="0">
            <x v="0"/>
          </reference>
          <reference field="2" count="1" selected="0">
            <x v="10"/>
          </reference>
        </references>
      </pivotArea>
    </chartFormat>
    <chartFormat chart="36" format="16">
      <pivotArea type="data" outline="0" fieldPosition="0">
        <references count="2">
          <reference field="4294967294" count="1" selected="0">
            <x v="0"/>
          </reference>
          <reference field="2" count="1" selected="0">
            <x v="12"/>
          </reference>
        </references>
      </pivotArea>
    </chartFormat>
    <chartFormat chart="36" format="17">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8844B-2B13-418E-9944-34D1BFAAA0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5">
    <pivotField axis="axisRow" showAll="0">
      <items count="3">
        <item x="1"/>
        <item x="0"/>
        <item t="default"/>
      </items>
    </pivotField>
    <pivotField showAll="0"/>
    <pivotField showAll="0"/>
    <pivotField dataField="1" showAll="0">
      <items count="136">
        <item x="127"/>
        <item x="92"/>
        <item x="94"/>
        <item x="47"/>
        <item x="99"/>
        <item x="80"/>
        <item x="53"/>
        <item x="82"/>
        <item x="51"/>
        <item x="3"/>
        <item x="104"/>
        <item x="125"/>
        <item x="62"/>
        <item x="11"/>
        <item x="84"/>
        <item x="48"/>
        <item x="46"/>
        <item x="0"/>
        <item x="129"/>
        <item x="65"/>
        <item x="26"/>
        <item x="112"/>
        <item x="72"/>
        <item x="4"/>
        <item x="33"/>
        <item x="111"/>
        <item x="110"/>
        <item x="2"/>
        <item x="29"/>
        <item x="16"/>
        <item x="12"/>
        <item x="96"/>
        <item x="132"/>
        <item x="123"/>
        <item x="130"/>
        <item x="133"/>
        <item x="5"/>
        <item x="126"/>
        <item x="45"/>
        <item x="76"/>
        <item x="90"/>
        <item x="109"/>
        <item x="22"/>
        <item x="106"/>
        <item x="50"/>
        <item x="17"/>
        <item x="40"/>
        <item x="122"/>
        <item x="120"/>
        <item x="55"/>
        <item x="75"/>
        <item x="19"/>
        <item x="93"/>
        <item x="128"/>
        <item x="66"/>
        <item x="41"/>
        <item x="43"/>
        <item x="44"/>
        <item x="108"/>
        <item x="30"/>
        <item x="68"/>
        <item x="63"/>
        <item x="59"/>
        <item x="131"/>
        <item x="61"/>
        <item x="114"/>
        <item x="121"/>
        <item x="97"/>
        <item x="8"/>
        <item x="91"/>
        <item x="21"/>
        <item x="85"/>
        <item x="39"/>
        <item x="105"/>
        <item x="70"/>
        <item x="113"/>
        <item x="9"/>
        <item x="23"/>
        <item x="52"/>
        <item x="77"/>
        <item x="103"/>
        <item x="124"/>
        <item x="27"/>
        <item x="49"/>
        <item x="115"/>
        <item x="98"/>
        <item x="13"/>
        <item x="1"/>
        <item x="64"/>
        <item x="74"/>
        <item x="57"/>
        <item x="101"/>
        <item x="58"/>
        <item x="119"/>
        <item x="14"/>
        <item x="54"/>
        <item x="20"/>
        <item x="7"/>
        <item x="69"/>
        <item x="28"/>
        <item x="86"/>
        <item x="107"/>
        <item x="35"/>
        <item x="25"/>
        <item x="87"/>
        <item x="15"/>
        <item x="102"/>
        <item x="81"/>
        <item x="56"/>
        <item x="31"/>
        <item x="73"/>
        <item x="32"/>
        <item x="6"/>
        <item x="100"/>
        <item x="78"/>
        <item x="36"/>
        <item x="95"/>
        <item x="134"/>
        <item x="83"/>
        <item x="37"/>
        <item x="116"/>
        <item x="18"/>
        <item x="67"/>
        <item x="88"/>
        <item x="10"/>
        <item x="71"/>
        <item x="24"/>
        <item x="117"/>
        <item x="60"/>
        <item x="38"/>
        <item x="79"/>
        <item x="118"/>
        <item x="42"/>
        <item x="89"/>
        <item x="34"/>
        <item t="default"/>
      </items>
    </pivotField>
    <pivotField showAll="0"/>
  </pivotFields>
  <rowFields count="1">
    <field x="0"/>
  </rowFields>
  <rowItems count="3">
    <i>
      <x/>
    </i>
    <i>
      <x v="1"/>
    </i>
    <i t="grand">
      <x/>
    </i>
  </rowItems>
  <colItems count="1">
    <i/>
  </colItems>
  <dataFields count="1">
    <dataField name="Sum of INR"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D92F31-122F-42CB-9287-934D68C6FA68}" sourceName="Category">
  <pivotTables>
    <pivotTable tabId="6" name="PivotTable2"/>
  </pivotTables>
  <data>
    <tabular pivotCacheId="1855896822" customListSort="0">
      <items count="13">
        <i x="8" s="1"/>
        <i x="3" s="1"/>
        <i x="10" s="1"/>
        <i x="6" s="1"/>
        <i x="0" s="1"/>
        <i x="11" s="1"/>
        <i x="4" s="1"/>
        <i x="1" s="1"/>
        <i x="12" s="1"/>
        <i x="7" s="1"/>
        <i x="9" s="1"/>
        <i x="5"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7AB63752-632A-444B-9027-8FA38A1BB19F}" sourceName="Account">
  <pivotTables>
    <pivotTable tabId="6" name="PivotTable2"/>
  </pivotTables>
  <data>
    <tabular pivotCacheId="18558968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Expense" xr10:uid="{ED35731D-F8CD-45CE-9CD4-1766A86AD229}" sourceName="Income/Expense">
  <pivotTables>
    <pivotTable tabId="6" name="PivotTable2"/>
  </pivotTables>
  <data>
    <tabular pivotCacheId="185589682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CDA2E7-072C-48A5-8CB8-92984C31F321}" cache="Slicer_Category" caption="Category" showCaption="0" style="theme slicer" rowHeight="251883"/>
  <slicer name="Account" xr10:uid="{84F97A21-6085-4072-9AF8-79B1B5804C51}" cache="Slicer_Account" caption="Account" showCaption="0" rowHeight="251883"/>
  <slicer name="Income/Expense" xr10:uid="{C8DACD03-44CD-4E8A-AC6C-E43EAECAB5FD}" cache="Slicer_Income_Expense" caption="Income/Expense" showCaption="0"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426A03D-8CBA-4AF0-A951-391E8BA7CB76}" cache="Slicer_Category" caption="Category" showCaption="0" style="theme slicer" rowHeight="251883"/>
  <slicer name="Account 1" xr10:uid="{2A7122DE-FE23-498E-B820-9284F7EF95FF}" cache="Slicer_Account" caption="Account" showCaption="0" style="cash" rowHeight="251883"/>
  <slicer name="Income/Expense 1" xr10:uid="{C35E16E1-8887-446E-AAFC-731DB3A58B43}" cache="Slicer_Income_Expense" caption="Income/Expense" showCaption="0" style="income/Expenc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DE4F-93FF-4DED-911C-3790403D54C6}">
  <sheetPr>
    <tabColor rgb="FF00272B"/>
  </sheetPr>
  <dimension ref="A3:B25"/>
  <sheetViews>
    <sheetView topLeftCell="A7" workbookViewId="0">
      <selection activeCell="V10" sqref="V10"/>
    </sheetView>
  </sheetViews>
  <sheetFormatPr defaultRowHeight="14.5"/>
  <cols>
    <col min="1" max="1" width="15" bestFit="1" customWidth="1"/>
    <col min="2" max="2" width="10" bestFit="1" customWidth="1"/>
    <col min="3" max="3" width="22.54296875" bestFit="1" customWidth="1"/>
    <col min="4" max="4" width="10.36328125" bestFit="1" customWidth="1"/>
    <col min="5" max="13" width="15.81640625" bestFit="1" customWidth="1"/>
    <col min="14" max="15" width="10.36328125" bestFit="1" customWidth="1"/>
    <col min="16" max="18" width="7.26953125" bestFit="1" customWidth="1"/>
    <col min="19" max="19" width="4.90625" bestFit="1" customWidth="1"/>
    <col min="20" max="20" width="7.26953125" bestFit="1" customWidth="1"/>
    <col min="21" max="23" width="13.08984375" bestFit="1" customWidth="1"/>
    <col min="24" max="24" width="7.26953125" bestFit="1" customWidth="1"/>
    <col min="25" max="25" width="4.90625" bestFit="1" customWidth="1"/>
    <col min="26" max="26" width="7.26953125" bestFit="1" customWidth="1"/>
    <col min="27" max="27" width="13.08984375" bestFit="1" customWidth="1"/>
    <col min="28" max="28" width="7.26953125" bestFit="1" customWidth="1"/>
    <col min="29" max="29" width="4.90625" bestFit="1" customWidth="1"/>
    <col min="30" max="30" width="7.26953125" bestFit="1" customWidth="1"/>
    <col min="31" max="32" width="5.453125" bestFit="1" customWidth="1"/>
    <col min="33" max="33" width="7.26953125" bestFit="1" customWidth="1"/>
    <col min="34" max="34" width="13.08984375" bestFit="1" customWidth="1"/>
    <col min="35" max="35" width="7.26953125" bestFit="1" customWidth="1"/>
    <col min="36" max="36" width="13.08984375" bestFit="1" customWidth="1"/>
    <col min="37" max="37" width="7.26953125" bestFit="1" customWidth="1"/>
    <col min="38" max="38" width="13.08984375" bestFit="1" customWidth="1"/>
    <col min="39" max="39" width="7.26953125" bestFit="1" customWidth="1"/>
    <col min="40" max="42" width="13.08984375" bestFit="1" customWidth="1"/>
    <col min="43" max="43" width="7.26953125" bestFit="1" customWidth="1"/>
    <col min="44" max="44" width="13.08984375" bestFit="1" customWidth="1"/>
    <col min="45" max="45" width="7.26953125" bestFit="1" customWidth="1"/>
    <col min="46" max="46" width="4.90625" bestFit="1" customWidth="1"/>
    <col min="47" max="47" width="7.26953125" bestFit="1" customWidth="1"/>
    <col min="48" max="49" width="13.08984375" bestFit="1" customWidth="1"/>
    <col min="50" max="50" width="7.26953125" bestFit="1" customWidth="1"/>
    <col min="51" max="51" width="4.90625" bestFit="1" customWidth="1"/>
    <col min="52" max="52" width="7.26953125" bestFit="1" customWidth="1"/>
    <col min="53" max="53" width="4.90625" bestFit="1" customWidth="1"/>
    <col min="54" max="54" width="7.26953125" bestFit="1" customWidth="1"/>
    <col min="55" max="55" width="4.90625" bestFit="1" customWidth="1"/>
    <col min="56" max="56" width="7.26953125" bestFit="1" customWidth="1"/>
    <col min="57" max="59" width="9.81640625" bestFit="1" customWidth="1"/>
    <col min="60" max="60" width="7.26953125" bestFit="1" customWidth="1"/>
    <col min="61" max="61" width="4.90625" bestFit="1" customWidth="1"/>
    <col min="62" max="62" width="7.26953125" bestFit="1" customWidth="1"/>
    <col min="63" max="63" width="4.90625" bestFit="1" customWidth="1"/>
    <col min="64" max="64" width="7.26953125" bestFit="1" customWidth="1"/>
    <col min="65" max="65" width="4.90625" bestFit="1" customWidth="1"/>
    <col min="66" max="66" width="7.26953125" bestFit="1" customWidth="1"/>
    <col min="67" max="69" width="13.08984375" bestFit="1" customWidth="1"/>
    <col min="70" max="70" width="7.26953125" bestFit="1" customWidth="1"/>
    <col min="71" max="71" width="4.90625" bestFit="1" customWidth="1"/>
    <col min="72" max="72" width="7.26953125" bestFit="1" customWidth="1"/>
    <col min="73" max="73" width="4.90625" bestFit="1" customWidth="1"/>
    <col min="74" max="74" width="7.26953125" bestFit="1" customWidth="1"/>
    <col min="75" max="75" width="4.90625" bestFit="1" customWidth="1"/>
    <col min="76" max="76" width="7.26953125" bestFit="1" customWidth="1"/>
    <col min="77" max="77" width="4.90625" bestFit="1" customWidth="1"/>
    <col min="78" max="78" width="7.26953125" bestFit="1" customWidth="1"/>
    <col min="79" max="79" width="4.90625" bestFit="1" customWidth="1"/>
    <col min="80" max="80" width="7.26953125" bestFit="1" customWidth="1"/>
    <col min="81" max="81" width="4.90625" bestFit="1" customWidth="1"/>
    <col min="82" max="82" width="7.26953125" bestFit="1" customWidth="1"/>
    <col min="83" max="83" width="4.90625" bestFit="1" customWidth="1"/>
    <col min="84" max="84" width="7.26953125" bestFit="1" customWidth="1"/>
    <col min="85" max="87" width="9.453125" bestFit="1" customWidth="1"/>
    <col min="88" max="88" width="8.26953125" bestFit="1" customWidth="1"/>
    <col min="89" max="89" width="5.54296875" bestFit="1" customWidth="1"/>
    <col min="90" max="90" width="8.26953125" bestFit="1" customWidth="1"/>
    <col min="91" max="91" width="5.54296875" bestFit="1" customWidth="1"/>
    <col min="92" max="92" width="8.26953125" bestFit="1" customWidth="1"/>
    <col min="93" max="93" width="5.54296875" bestFit="1" customWidth="1"/>
    <col min="94" max="94" width="8.26953125" bestFit="1" customWidth="1"/>
    <col min="95" max="95" width="5.54296875" bestFit="1" customWidth="1"/>
    <col min="96" max="96" width="8.26953125" bestFit="1" customWidth="1"/>
    <col min="97" max="97" width="5.54296875" bestFit="1" customWidth="1"/>
    <col min="98" max="98" width="8.26953125" bestFit="1" customWidth="1"/>
    <col min="99" max="99" width="5.54296875" bestFit="1" customWidth="1"/>
    <col min="100" max="100" width="8.26953125" bestFit="1" customWidth="1"/>
    <col min="101" max="101" width="5.54296875" bestFit="1" customWidth="1"/>
    <col min="102" max="102" width="8.26953125" bestFit="1" customWidth="1"/>
    <col min="103" max="104" width="5.54296875" bestFit="1" customWidth="1"/>
    <col min="105" max="105" width="8.26953125" bestFit="1" customWidth="1"/>
    <col min="106" max="107" width="13.08984375" bestFit="1" customWidth="1"/>
    <col min="108" max="108" width="8.26953125" bestFit="1" customWidth="1"/>
    <col min="109" max="110" width="5.54296875" bestFit="1" customWidth="1"/>
    <col min="111" max="111" width="8.26953125" bestFit="1" customWidth="1"/>
    <col min="112" max="112" width="5.54296875" bestFit="1" customWidth="1"/>
    <col min="113" max="113" width="8.26953125" bestFit="1" customWidth="1"/>
    <col min="114" max="116" width="13.08984375" bestFit="1" customWidth="1"/>
    <col min="117" max="117" width="8.26953125" bestFit="1" customWidth="1"/>
    <col min="118" max="118" width="5.54296875" bestFit="1" customWidth="1"/>
    <col min="119" max="119" width="8.26953125" bestFit="1" customWidth="1"/>
    <col min="120" max="120" width="7.54296875" bestFit="1" customWidth="1"/>
    <col min="121" max="121" width="9.81640625" bestFit="1" customWidth="1"/>
    <col min="122" max="123" width="13.08984375" bestFit="1" customWidth="1"/>
    <col min="124" max="124" width="8.26953125" bestFit="1" customWidth="1"/>
    <col min="125" max="126" width="7.26953125" bestFit="1" customWidth="1"/>
    <col min="127" max="127" width="8.26953125" bestFit="1" customWidth="1"/>
    <col min="128" max="128" width="5.54296875" bestFit="1" customWidth="1"/>
    <col min="129" max="129" width="8.26953125" bestFit="1" customWidth="1"/>
    <col min="130" max="130" width="5.54296875" bestFit="1" customWidth="1"/>
    <col min="131" max="131" width="8.26953125" bestFit="1" customWidth="1"/>
    <col min="132" max="134" width="9.453125" bestFit="1" customWidth="1"/>
    <col min="135" max="135" width="8.26953125" bestFit="1" customWidth="1"/>
    <col min="136" max="136" width="13.08984375" bestFit="1" customWidth="1"/>
    <col min="137" max="137" width="8.26953125" bestFit="1" customWidth="1"/>
    <col min="138" max="138" width="5.54296875" bestFit="1" customWidth="1"/>
    <col min="139" max="139" width="8.26953125" bestFit="1" customWidth="1"/>
    <col min="140" max="140" width="5.54296875" bestFit="1" customWidth="1"/>
    <col min="141" max="141" width="8.26953125" bestFit="1" customWidth="1"/>
    <col min="142" max="142" width="5.54296875" bestFit="1" customWidth="1"/>
    <col min="143" max="143" width="8.26953125" bestFit="1" customWidth="1"/>
    <col min="144" max="144" width="5.54296875" bestFit="1" customWidth="1"/>
    <col min="145" max="145" width="8.26953125" bestFit="1" customWidth="1"/>
    <col min="146" max="146" width="5.54296875" bestFit="1" customWidth="1"/>
    <col min="147" max="147" width="8.26953125" bestFit="1" customWidth="1"/>
    <col min="148" max="148" width="5.54296875" bestFit="1" customWidth="1"/>
    <col min="149" max="149" width="8.26953125" bestFit="1" customWidth="1"/>
    <col min="150" max="150" width="5.54296875" bestFit="1" customWidth="1"/>
    <col min="151" max="151" width="8.26953125" bestFit="1" customWidth="1"/>
    <col min="152" max="152" width="5.54296875" bestFit="1" customWidth="1"/>
    <col min="153" max="153" width="8.26953125" bestFit="1" customWidth="1"/>
    <col min="154" max="154" width="5.54296875" bestFit="1" customWidth="1"/>
    <col min="155" max="155" width="8.26953125" bestFit="1" customWidth="1"/>
    <col min="156" max="156" width="6.54296875" bestFit="1" customWidth="1"/>
    <col min="157" max="157" width="8.26953125" bestFit="1" customWidth="1"/>
    <col min="158" max="158" width="13.08984375" bestFit="1" customWidth="1"/>
    <col min="159" max="159" width="8.26953125" bestFit="1" customWidth="1"/>
    <col min="160" max="163" width="13.08984375" bestFit="1" customWidth="1"/>
    <col min="164" max="164" width="8.26953125" bestFit="1" customWidth="1"/>
    <col min="165" max="165" width="5.54296875" bestFit="1" customWidth="1"/>
    <col min="166" max="166" width="8.26953125" bestFit="1" customWidth="1"/>
    <col min="167" max="167" width="13.08984375" bestFit="1" customWidth="1"/>
    <col min="168" max="168" width="9.81640625" bestFit="1" customWidth="1"/>
    <col min="169" max="169" width="5.54296875" bestFit="1" customWidth="1"/>
    <col min="170" max="170" width="8.26953125" bestFit="1" customWidth="1"/>
    <col min="171" max="171" width="13.08984375" bestFit="1" customWidth="1"/>
    <col min="172" max="172" width="8.26953125" bestFit="1" customWidth="1"/>
    <col min="173" max="173" width="5.54296875" bestFit="1" customWidth="1"/>
    <col min="174" max="174" width="8.26953125" bestFit="1" customWidth="1"/>
    <col min="175" max="175" width="5.54296875" bestFit="1" customWidth="1"/>
    <col min="176" max="176" width="8.26953125" bestFit="1" customWidth="1"/>
    <col min="177" max="177" width="5.54296875" bestFit="1" customWidth="1"/>
    <col min="178" max="178" width="8.26953125" bestFit="1" customWidth="1"/>
    <col min="179" max="179" width="5.54296875" bestFit="1" customWidth="1"/>
    <col min="180" max="180" width="8.26953125" bestFit="1" customWidth="1"/>
    <col min="181" max="182" width="5.54296875" bestFit="1" customWidth="1"/>
    <col min="183" max="183" width="8.26953125" bestFit="1" customWidth="1"/>
    <col min="184" max="184" width="5.54296875" bestFit="1" customWidth="1"/>
    <col min="185" max="185" width="8.26953125" bestFit="1" customWidth="1"/>
    <col min="186" max="186" width="5.54296875" bestFit="1" customWidth="1"/>
    <col min="187" max="187" width="8.26953125" bestFit="1" customWidth="1"/>
    <col min="188" max="188" width="5.54296875" bestFit="1" customWidth="1"/>
    <col min="189" max="189" width="8.26953125" bestFit="1" customWidth="1"/>
    <col min="190" max="190" width="7.54296875" bestFit="1" customWidth="1"/>
    <col min="191" max="191" width="9.81640625" bestFit="1" customWidth="1"/>
    <col min="192" max="192" width="13.08984375" bestFit="1" customWidth="1"/>
    <col min="193" max="193" width="8.26953125" bestFit="1" customWidth="1"/>
    <col min="194" max="194" width="5.54296875" bestFit="1" customWidth="1"/>
    <col min="195" max="195" width="8.26953125" bestFit="1" customWidth="1"/>
    <col min="196" max="196" width="5.54296875" bestFit="1" customWidth="1"/>
    <col min="197" max="197" width="8.26953125" bestFit="1" customWidth="1"/>
    <col min="198" max="198" width="13.08984375" bestFit="1" customWidth="1"/>
    <col min="199" max="199" width="8.26953125" bestFit="1" customWidth="1"/>
    <col min="200" max="200" width="5.54296875" bestFit="1" customWidth="1"/>
    <col min="201" max="201" width="8.26953125" bestFit="1" customWidth="1"/>
    <col min="202" max="203" width="5.54296875" bestFit="1" customWidth="1"/>
    <col min="204" max="204" width="8.26953125" bestFit="1" customWidth="1"/>
    <col min="205" max="205" width="8.54296875" bestFit="1" customWidth="1"/>
    <col min="206" max="206" width="10.81640625" bestFit="1" customWidth="1"/>
    <col min="207" max="207" width="8.54296875" bestFit="1" customWidth="1"/>
    <col min="208" max="208" width="10.81640625" bestFit="1" customWidth="1"/>
    <col min="209" max="209" width="5.54296875" bestFit="1" customWidth="1"/>
    <col min="210" max="210" width="8.26953125" bestFit="1" customWidth="1"/>
    <col min="211" max="211" width="13.08984375" bestFit="1" customWidth="1"/>
    <col min="212" max="212" width="8.26953125" bestFit="1" customWidth="1"/>
    <col min="213" max="213" width="5.54296875" bestFit="1" customWidth="1"/>
    <col min="214" max="214" width="8.26953125" bestFit="1" customWidth="1"/>
    <col min="215" max="215" width="5.54296875" bestFit="1" customWidth="1"/>
    <col min="216" max="216" width="8.26953125" bestFit="1" customWidth="1"/>
    <col min="217" max="217" width="7.54296875" bestFit="1" customWidth="1"/>
    <col min="218" max="218" width="9.81640625" bestFit="1" customWidth="1"/>
    <col min="219" max="219" width="13.08984375" bestFit="1" customWidth="1"/>
    <col min="220" max="220" width="8.26953125" bestFit="1" customWidth="1"/>
    <col min="221" max="221" width="9.81640625" bestFit="1" customWidth="1"/>
    <col min="222" max="222" width="8.26953125" bestFit="1" customWidth="1"/>
    <col min="223" max="223" width="8.54296875" bestFit="1" customWidth="1"/>
    <col min="224" max="224" width="10.81640625" bestFit="1" customWidth="1"/>
    <col min="225" max="225" width="5.54296875" bestFit="1" customWidth="1"/>
    <col min="226" max="226" width="8.26953125" bestFit="1" customWidth="1"/>
    <col min="227" max="227" width="5.54296875" bestFit="1" customWidth="1"/>
    <col min="228" max="228" width="8.26953125" bestFit="1" customWidth="1"/>
    <col min="229" max="229" width="5.54296875" bestFit="1" customWidth="1"/>
    <col min="230" max="230" width="8.26953125" bestFit="1" customWidth="1"/>
    <col min="231" max="231" width="9.453125" bestFit="1" customWidth="1"/>
    <col min="232" max="232" width="10.81640625" bestFit="1" customWidth="1"/>
    <col min="233" max="233" width="5.54296875" bestFit="1" customWidth="1"/>
    <col min="234" max="234" width="8.26953125" bestFit="1" customWidth="1"/>
    <col min="235" max="235" width="5.54296875" bestFit="1" customWidth="1"/>
    <col min="236" max="236" width="8.26953125" bestFit="1" customWidth="1"/>
    <col min="237" max="237" width="5.54296875" bestFit="1" customWidth="1"/>
    <col min="238" max="238" width="8.26953125" bestFit="1" customWidth="1"/>
    <col min="239" max="239" width="7.26953125" bestFit="1" customWidth="1"/>
    <col min="240" max="240" width="8.26953125" bestFit="1" customWidth="1"/>
    <col min="241" max="242" width="15.81640625" bestFit="1" customWidth="1"/>
    <col min="243" max="243" width="8.26953125" bestFit="1" customWidth="1"/>
    <col min="244" max="244" width="5.54296875" bestFit="1" customWidth="1"/>
    <col min="245" max="245" width="8.26953125" bestFit="1" customWidth="1"/>
    <col min="246" max="246" width="5.54296875" bestFit="1" customWidth="1"/>
    <col min="247" max="247" width="8.26953125" bestFit="1" customWidth="1"/>
    <col min="248" max="248" width="5.54296875" bestFit="1" customWidth="1"/>
    <col min="249" max="249" width="8.26953125" bestFit="1" customWidth="1"/>
    <col min="250" max="250" width="5.54296875" bestFit="1" customWidth="1"/>
    <col min="251" max="251" width="8.26953125" bestFit="1" customWidth="1"/>
    <col min="252" max="252" width="5.54296875" bestFit="1" customWidth="1"/>
    <col min="253" max="253" width="8.26953125" bestFit="1" customWidth="1"/>
    <col min="254" max="255" width="7.26953125" bestFit="1" customWidth="1"/>
    <col min="256" max="256" width="8.26953125" bestFit="1" customWidth="1"/>
    <col min="257" max="257" width="5.54296875" bestFit="1" customWidth="1"/>
    <col min="258" max="258" width="8.26953125" bestFit="1" customWidth="1"/>
    <col min="259" max="259" width="7.54296875" bestFit="1" customWidth="1"/>
    <col min="260" max="260" width="9.81640625" bestFit="1" customWidth="1"/>
    <col min="261" max="261" width="5.54296875" bestFit="1" customWidth="1"/>
    <col min="262" max="262" width="8.26953125" bestFit="1" customWidth="1"/>
    <col min="263" max="263" width="13.08984375" bestFit="1" customWidth="1"/>
    <col min="264" max="264" width="8.26953125" bestFit="1" customWidth="1"/>
    <col min="265" max="265" width="5.54296875" bestFit="1" customWidth="1"/>
    <col min="266" max="266" width="8.26953125" bestFit="1" customWidth="1"/>
    <col min="267" max="267" width="8.54296875" bestFit="1" customWidth="1"/>
    <col min="268" max="268" width="10.81640625" bestFit="1" customWidth="1"/>
    <col min="269" max="271" width="13.08984375" bestFit="1" customWidth="1"/>
    <col min="272" max="272" width="9.26953125" bestFit="1" customWidth="1"/>
    <col min="273" max="273" width="9.54296875" bestFit="1" customWidth="1"/>
    <col min="274" max="274" width="11.81640625" bestFit="1" customWidth="1"/>
    <col min="275" max="275" width="13.08984375" bestFit="1" customWidth="1"/>
    <col min="276" max="276" width="9.26953125" bestFit="1" customWidth="1"/>
    <col min="277" max="277" width="13.08984375" bestFit="1" customWidth="1"/>
    <col min="278" max="280" width="9.26953125" bestFit="1" customWidth="1"/>
    <col min="281" max="281" width="6.54296875" bestFit="1" customWidth="1"/>
    <col min="282" max="282" width="9.26953125" bestFit="1" customWidth="1"/>
    <col min="283" max="283" width="6.54296875" bestFit="1" customWidth="1"/>
    <col min="284" max="284" width="9.26953125" bestFit="1" customWidth="1"/>
    <col min="285" max="285" width="13.08984375" bestFit="1" customWidth="1"/>
    <col min="286" max="286" width="9.26953125" bestFit="1" customWidth="1"/>
    <col min="287" max="287" width="7.26953125" bestFit="1" customWidth="1"/>
    <col min="288" max="288" width="9.26953125" bestFit="1" customWidth="1"/>
    <col min="289" max="290" width="9.453125" bestFit="1" customWidth="1"/>
    <col min="291" max="291" width="9.26953125" bestFit="1" customWidth="1"/>
    <col min="292" max="292" width="9.81640625" bestFit="1" customWidth="1"/>
    <col min="293" max="293" width="9.26953125" bestFit="1" customWidth="1"/>
    <col min="294" max="294" width="9.81640625" bestFit="1" customWidth="1"/>
    <col min="295" max="295" width="9.26953125" bestFit="1" customWidth="1"/>
    <col min="296" max="296" width="9.81640625" bestFit="1" customWidth="1"/>
    <col min="297" max="297" width="9.26953125" bestFit="1" customWidth="1"/>
    <col min="298" max="298" width="6.54296875" bestFit="1" customWidth="1"/>
    <col min="299" max="299" width="9.26953125" bestFit="1" customWidth="1"/>
    <col min="300" max="301" width="9.453125" bestFit="1" customWidth="1"/>
    <col min="302" max="302" width="9.26953125" bestFit="1" customWidth="1"/>
    <col min="303" max="303" width="7.54296875" bestFit="1" customWidth="1"/>
    <col min="304" max="304" width="10.26953125" bestFit="1" customWidth="1"/>
    <col min="305" max="305" width="10.36328125" bestFit="1" customWidth="1"/>
  </cols>
  <sheetData>
    <row r="3" spans="1:2">
      <c r="A3" s="8" t="s">
        <v>350</v>
      </c>
      <c r="B3" t="s">
        <v>355</v>
      </c>
    </row>
    <row r="4" spans="1:2">
      <c r="A4" s="9" t="s">
        <v>190</v>
      </c>
      <c r="B4" s="12">
        <v>14000</v>
      </c>
    </row>
    <row r="5" spans="1:2">
      <c r="A5" s="9" t="s">
        <v>36</v>
      </c>
      <c r="B5" s="12">
        <v>-3388</v>
      </c>
    </row>
    <row r="6" spans="1:2">
      <c r="A6" s="9" t="s">
        <v>289</v>
      </c>
      <c r="B6" s="12">
        <v>-196</v>
      </c>
    </row>
    <row r="7" spans="1:2">
      <c r="A7" s="9" t="s">
        <v>178</v>
      </c>
      <c r="B7" s="12">
        <v>-1400</v>
      </c>
    </row>
    <row r="8" spans="1:2">
      <c r="A8" s="9" t="s">
        <v>6</v>
      </c>
      <c r="B8" s="12">
        <v>-24444.480000000003</v>
      </c>
    </row>
    <row r="9" spans="1:2">
      <c r="A9" s="9" t="s">
        <v>292</v>
      </c>
      <c r="B9" s="12">
        <v>-115</v>
      </c>
    </row>
    <row r="10" spans="1:2">
      <c r="A10" s="9" t="s">
        <v>30</v>
      </c>
      <c r="B10" s="12">
        <v>-11885</v>
      </c>
    </row>
    <row r="11" spans="1:2">
      <c r="A11" s="9" t="s">
        <v>9</v>
      </c>
      <c r="B11" s="12">
        <v>27634</v>
      </c>
    </row>
    <row r="12" spans="1:2">
      <c r="A12" s="9" t="s">
        <v>313</v>
      </c>
      <c r="B12" s="12">
        <v>3</v>
      </c>
    </row>
    <row r="13" spans="1:2">
      <c r="A13" s="9" t="s">
        <v>180</v>
      </c>
      <c r="B13" s="12">
        <v>8000</v>
      </c>
    </row>
    <row r="14" spans="1:2">
      <c r="A14" s="9" t="s">
        <v>218</v>
      </c>
      <c r="B14" s="12">
        <v>-400</v>
      </c>
    </row>
    <row r="15" spans="1:2">
      <c r="A15" s="9" t="s">
        <v>26</v>
      </c>
      <c r="B15" s="12">
        <v>-813.72</v>
      </c>
    </row>
    <row r="16" spans="1:2">
      <c r="A16" s="9" t="s">
        <v>12</v>
      </c>
      <c r="B16" s="12">
        <v>-9203.7999999999993</v>
      </c>
    </row>
    <row r="17" spans="1:2">
      <c r="A17" s="9" t="s">
        <v>351</v>
      </c>
      <c r="B17">
        <f>SUM(B4:B16)</f>
        <v>-2209.0000000000027</v>
      </c>
    </row>
    <row r="20" spans="1:2">
      <c r="A20" t="str">
        <f>A17</f>
        <v>Grand Total</v>
      </c>
      <c r="B20">
        <f>B17</f>
        <v>-2209.0000000000027</v>
      </c>
    </row>
    <row r="21" spans="1:2">
      <c r="A21" t="s">
        <v>365</v>
      </c>
      <c r="B21">
        <f>SUMIF(B4:B16,"&lt;0")</f>
        <v>-51846</v>
      </c>
    </row>
    <row r="22" spans="1:2">
      <c r="A22" t="s">
        <v>366</v>
      </c>
      <c r="B22">
        <f>SUMIF(B4:B16,"&gt;0")</f>
        <v>49637</v>
      </c>
    </row>
    <row r="25" spans="1:2" ht="15.5">
      <c r="A25" s="10">
        <f ca="1">TODAY()</f>
        <v>46105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CF06-3E66-4898-AD46-47D1B16BAB25}">
  <dimension ref="A3:B6"/>
  <sheetViews>
    <sheetView workbookViewId="0">
      <selection activeCell="D9" sqref="D9"/>
    </sheetView>
  </sheetViews>
  <sheetFormatPr defaultRowHeight="14.5"/>
  <cols>
    <col min="1" max="1" width="18.26953125" bestFit="1" customWidth="1"/>
    <col min="2" max="2" width="10" bestFit="1" customWidth="1"/>
  </cols>
  <sheetData>
    <row r="3" spans="1:2">
      <c r="A3" s="8" t="s">
        <v>350</v>
      </c>
      <c r="B3" t="s">
        <v>355</v>
      </c>
    </row>
    <row r="4" spans="1:2">
      <c r="A4" s="9" t="s">
        <v>276</v>
      </c>
      <c r="B4">
        <v>1120.72</v>
      </c>
    </row>
    <row r="5" spans="1:2">
      <c r="A5" s="9" t="s">
        <v>5</v>
      </c>
      <c r="B5">
        <v>110596.28</v>
      </c>
    </row>
    <row r="6" spans="1:2">
      <c r="A6" s="9" t="s">
        <v>351</v>
      </c>
      <c r="B6">
        <v>111717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5B28-E63E-4A40-BB54-18797CF19091}">
  <sheetPr>
    <tabColor rgb="FFE0FF4F"/>
  </sheetPr>
  <dimension ref="A1"/>
  <sheetViews>
    <sheetView workbookViewId="0">
      <selection activeCell="C14" sqref="C14"/>
    </sheetView>
  </sheetViews>
  <sheetFormatPr defaultRowHeight="1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C78F3-E07C-42AC-97FE-F014E82123D5}">
  <sheetPr>
    <tabColor theme="9" tint="0.79998168889431442"/>
  </sheetPr>
  <dimension ref="A1:Q274"/>
  <sheetViews>
    <sheetView topLeftCell="A170" zoomScale="72" workbookViewId="0">
      <selection activeCell="D1" sqref="D1:E274"/>
    </sheetView>
  </sheetViews>
  <sheetFormatPr defaultRowHeight="14.5"/>
  <cols>
    <col min="1" max="1" width="19.1796875" style="1" customWidth="1"/>
    <col min="2" max="2" width="22.7265625" style="1" customWidth="1"/>
    <col min="3" max="3" width="16.90625" style="1" customWidth="1"/>
    <col min="4" max="4" width="35.1796875" style="1" bestFit="1" customWidth="1"/>
    <col min="5" max="5" width="8.7265625" style="1"/>
    <col min="6" max="6" width="14.26953125" style="1" bestFit="1" customWidth="1"/>
    <col min="7" max="7" width="17.54296875" style="1" bestFit="1" customWidth="1"/>
    <col min="8" max="8" width="15" style="1" bestFit="1" customWidth="1"/>
    <col min="9" max="9" width="10.90625" style="1" bestFit="1" customWidth="1"/>
    <col min="10" max="10" width="11.7265625" style="1" bestFit="1" customWidth="1"/>
    <col min="11" max="11" width="8.7265625" style="1"/>
    <col min="12" max="12" width="16.1796875" style="1" bestFit="1" customWidth="1"/>
    <col min="13" max="13" width="8.7265625" style="1"/>
    <col min="14" max="14" width="15.36328125" style="1" bestFit="1" customWidth="1"/>
    <col min="15" max="15" width="14.36328125" style="1" bestFit="1" customWidth="1"/>
    <col min="17" max="17" width="7.81640625" style="1" bestFit="1" customWidth="1"/>
    <col min="18" max="16384" width="8.7265625" style="1"/>
  </cols>
  <sheetData>
    <row r="1" spans="1:17">
      <c r="A1" s="1" t="s">
        <v>0</v>
      </c>
      <c r="B1" s="1" t="s">
        <v>1</v>
      </c>
      <c r="C1" s="1" t="s">
        <v>2</v>
      </c>
      <c r="D1" s="1" t="s">
        <v>354</v>
      </c>
      <c r="E1" s="1" t="s">
        <v>3</v>
      </c>
      <c r="F1" s="1" t="s">
        <v>4</v>
      </c>
      <c r="G1" s="1" t="s">
        <v>358</v>
      </c>
      <c r="H1" s="1" t="s">
        <v>346</v>
      </c>
      <c r="I1" s="1" t="s">
        <v>347</v>
      </c>
      <c r="J1" s="1" t="s">
        <v>348</v>
      </c>
      <c r="K1" s="1" t="s">
        <v>349</v>
      </c>
      <c r="L1" s="1" t="s">
        <v>353</v>
      </c>
      <c r="M1" s="1" t="s">
        <v>352</v>
      </c>
      <c r="N1" s="1" t="s">
        <v>356</v>
      </c>
      <c r="O1" s="1" t="s">
        <v>357</v>
      </c>
      <c r="Q1" s="1" t="s">
        <v>359</v>
      </c>
    </row>
    <row r="2" spans="1:17">
      <c r="A2" s="2">
        <v>44595.424305555556</v>
      </c>
      <c r="B2" s="1" t="s">
        <v>5</v>
      </c>
      <c r="C2" s="1" t="s">
        <v>6</v>
      </c>
      <c r="D2" s="1" t="s">
        <v>7</v>
      </c>
      <c r="E2" s="1">
        <f>IF(F2="Expense", -Q2, +Q2)</f>
        <v>-50</v>
      </c>
      <c r="F2" s="1" t="s">
        <v>8</v>
      </c>
      <c r="G2" s="1">
        <f t="shared" ref="G2:G14" si="0">SUMIF($C:$C,H2,$Q:$Q)</f>
        <v>24444.480000000003</v>
      </c>
      <c r="H2" s="1" t="str" cm="1">
        <f t="array" ref="H2:H14">_xlfn.UNIQUE(C2:C274)</f>
        <v>Food</v>
      </c>
      <c r="I2" s="1">
        <f>SUMIF(F:F,F7,Q:Q)</f>
        <v>54754</v>
      </c>
      <c r="J2" s="1">
        <f>SUMIF(F:F,F3,Q:Q)</f>
        <v>56963.000000000007</v>
      </c>
      <c r="K2" s="1">
        <f>I2-J2</f>
        <v>-2209.0000000000073</v>
      </c>
      <c r="L2" s="1">
        <f>COUNTIF(B:B,B2)</f>
        <v>272</v>
      </c>
      <c r="M2" s="1">
        <f>COUNTIF(B:B,B215)</f>
        <v>1</v>
      </c>
      <c r="N2" s="1">
        <f>SUMIF(B:B,B2,Q:Q)</f>
        <v>110596.28</v>
      </c>
      <c r="O2" s="1">
        <f>SUMIF(B:B,B215,Q:Q)</f>
        <v>1120.72</v>
      </c>
      <c r="Q2" s="1">
        <v>50</v>
      </c>
    </row>
    <row r="3" spans="1:17">
      <c r="A3" s="2">
        <v>44595.424305555556</v>
      </c>
      <c r="B3" s="1" t="s">
        <v>5</v>
      </c>
      <c r="C3" s="1" t="s">
        <v>9</v>
      </c>
      <c r="D3" s="1" t="s">
        <v>10</v>
      </c>
      <c r="E3" s="1">
        <f t="shared" ref="E3:E66" si="1">IF(F3="Expense", -Q3, Q3)</f>
        <v>-300</v>
      </c>
      <c r="F3" s="1" t="s">
        <v>8</v>
      </c>
      <c r="G3" s="1">
        <f t="shared" si="0"/>
        <v>37868</v>
      </c>
      <c r="H3" s="1" t="str">
        <v>Other</v>
      </c>
      <c r="Q3" s="1">
        <v>300</v>
      </c>
    </row>
    <row r="4" spans="1:17">
      <c r="A4" s="2">
        <v>44564.826388888891</v>
      </c>
      <c r="B4" s="1" t="s">
        <v>5</v>
      </c>
      <c r="C4" s="1" t="s">
        <v>6</v>
      </c>
      <c r="D4" s="1" t="s">
        <v>11</v>
      </c>
      <c r="E4" s="1">
        <f t="shared" si="1"/>
        <v>-78</v>
      </c>
      <c r="F4" s="1" t="s">
        <v>8</v>
      </c>
      <c r="G4" s="1">
        <f t="shared" si="0"/>
        <v>9203.7999999999993</v>
      </c>
      <c r="H4" s="1" t="str">
        <v>Transportation</v>
      </c>
      <c r="Q4" s="1">
        <v>78</v>
      </c>
    </row>
    <row r="5" spans="1:17">
      <c r="A5" s="2">
        <v>44564.788888888892</v>
      </c>
      <c r="B5" s="1" t="s">
        <v>5</v>
      </c>
      <c r="C5" s="1" t="s">
        <v>12</v>
      </c>
      <c r="D5" s="1" t="s">
        <v>13</v>
      </c>
      <c r="E5" s="1">
        <f t="shared" si="1"/>
        <v>-30</v>
      </c>
      <c r="F5" s="1" t="s">
        <v>8</v>
      </c>
      <c r="G5" s="1">
        <f t="shared" si="0"/>
        <v>3388</v>
      </c>
      <c r="H5" s="1" t="str">
        <v>Apparel</v>
      </c>
      <c r="Q5" s="1">
        <v>30</v>
      </c>
    </row>
    <row r="6" spans="1:17">
      <c r="A6" s="2">
        <v>44564.765277777777</v>
      </c>
      <c r="B6" s="1" t="s">
        <v>5</v>
      </c>
      <c r="C6" s="1" t="s">
        <v>6</v>
      </c>
      <c r="D6" s="1" t="s">
        <v>14</v>
      </c>
      <c r="E6" s="1">
        <f t="shared" si="1"/>
        <v>-67</v>
      </c>
      <c r="F6" s="1" t="s">
        <v>8</v>
      </c>
      <c r="G6" s="1">
        <f t="shared" si="0"/>
        <v>11885</v>
      </c>
      <c r="H6" s="1" t="str">
        <v>Household</v>
      </c>
      <c r="Q6" s="1">
        <v>67</v>
      </c>
    </row>
    <row r="7" spans="1:17">
      <c r="A7" s="2">
        <v>44564.765277777777</v>
      </c>
      <c r="B7" s="1" t="s">
        <v>5</v>
      </c>
      <c r="C7" s="1" t="s">
        <v>9</v>
      </c>
      <c r="D7" s="1" t="s">
        <v>15</v>
      </c>
      <c r="E7" s="1">
        <f t="shared" si="1"/>
        <v>100</v>
      </c>
      <c r="F7" s="1" t="s">
        <v>16</v>
      </c>
      <c r="G7" s="1">
        <f t="shared" si="0"/>
        <v>813.72</v>
      </c>
      <c r="H7" s="1" t="str">
        <v>Social Life</v>
      </c>
      <c r="Q7" s="1">
        <v>100</v>
      </c>
    </row>
    <row r="8" spans="1:17">
      <c r="A8" s="2">
        <v>44564.76458333333</v>
      </c>
      <c r="B8" s="1" t="s">
        <v>5</v>
      </c>
      <c r="C8" s="1" t="s">
        <v>9</v>
      </c>
      <c r="D8" s="1" t="s">
        <v>17</v>
      </c>
      <c r="E8" s="1">
        <f t="shared" si="1"/>
        <v>500</v>
      </c>
      <c r="F8" s="1" t="s">
        <v>16</v>
      </c>
      <c r="G8" s="1">
        <f t="shared" si="0"/>
        <v>1400</v>
      </c>
      <c r="H8" s="1" t="str">
        <v>Education</v>
      </c>
      <c r="Q8" s="1">
        <v>500</v>
      </c>
    </row>
    <row r="9" spans="1:17">
      <c r="A9" s="1" t="s">
        <v>18</v>
      </c>
      <c r="B9" s="1" t="s">
        <v>5</v>
      </c>
      <c r="C9" s="1" t="s">
        <v>6</v>
      </c>
      <c r="D9" s="1" t="s">
        <v>19</v>
      </c>
      <c r="E9" s="1">
        <f t="shared" si="1"/>
        <v>-339.15</v>
      </c>
      <c r="F9" s="1" t="s">
        <v>8</v>
      </c>
      <c r="G9" s="1">
        <f t="shared" si="0"/>
        <v>8000</v>
      </c>
      <c r="H9" s="1" t="str">
        <v>Salary</v>
      </c>
      <c r="Q9" s="1">
        <v>339.15</v>
      </c>
    </row>
    <row r="10" spans="1:17">
      <c r="A10" s="1" t="s">
        <v>20</v>
      </c>
      <c r="B10" s="1" t="s">
        <v>5</v>
      </c>
      <c r="C10" s="1" t="s">
        <v>9</v>
      </c>
      <c r="D10" s="1" t="s">
        <v>21</v>
      </c>
      <c r="E10" s="1">
        <f t="shared" si="1"/>
        <v>200</v>
      </c>
      <c r="F10" s="1" t="s">
        <v>16</v>
      </c>
      <c r="G10" s="1">
        <f t="shared" si="0"/>
        <v>14000</v>
      </c>
      <c r="H10" s="1" t="str">
        <v>Allowance</v>
      </c>
      <c r="Q10" s="1">
        <v>200</v>
      </c>
    </row>
    <row r="11" spans="1:17">
      <c r="A11" s="1" t="s">
        <v>22</v>
      </c>
      <c r="B11" s="1" t="s">
        <v>5</v>
      </c>
      <c r="C11" s="1" t="s">
        <v>6</v>
      </c>
      <c r="D11" s="1" t="s">
        <v>23</v>
      </c>
      <c r="E11" s="1">
        <f t="shared" si="1"/>
        <v>-243</v>
      </c>
      <c r="F11" s="1" t="s">
        <v>8</v>
      </c>
      <c r="G11" s="1">
        <f t="shared" si="0"/>
        <v>400</v>
      </c>
      <c r="H11" s="1" t="str">
        <v>Self-development</v>
      </c>
      <c r="Q11" s="1">
        <v>243</v>
      </c>
    </row>
    <row r="12" spans="1:17">
      <c r="A12" s="1" t="s">
        <v>24</v>
      </c>
      <c r="B12" s="1" t="s">
        <v>5</v>
      </c>
      <c r="C12" s="1" t="s">
        <v>9</v>
      </c>
      <c r="D12" s="1" t="s">
        <v>17</v>
      </c>
      <c r="E12" s="1">
        <f t="shared" si="1"/>
        <v>1500</v>
      </c>
      <c r="F12" s="1" t="s">
        <v>16</v>
      </c>
      <c r="G12" s="1">
        <f t="shared" si="0"/>
        <v>196</v>
      </c>
      <c r="H12" s="1" t="str">
        <v>Beauty</v>
      </c>
      <c r="Q12" s="1">
        <v>1500</v>
      </c>
    </row>
    <row r="13" spans="1:17">
      <c r="A13" s="1" t="s">
        <v>24</v>
      </c>
      <c r="B13" s="1" t="s">
        <v>5</v>
      </c>
      <c r="C13" s="1" t="s">
        <v>9</v>
      </c>
      <c r="D13" s="1" t="s">
        <v>25</v>
      </c>
      <c r="E13" s="1">
        <f t="shared" si="1"/>
        <v>-100</v>
      </c>
      <c r="F13" s="1" t="s">
        <v>8</v>
      </c>
      <c r="G13" s="1">
        <f t="shared" si="0"/>
        <v>115</v>
      </c>
      <c r="H13" s="1" t="str">
        <v>Gift</v>
      </c>
      <c r="Q13" s="1">
        <v>100</v>
      </c>
    </row>
    <row r="14" spans="1:17">
      <c r="A14" s="1" t="s">
        <v>27</v>
      </c>
      <c r="B14" s="1" t="s">
        <v>5</v>
      </c>
      <c r="C14" s="1" t="s">
        <v>6</v>
      </c>
      <c r="D14" s="1" t="s">
        <v>14</v>
      </c>
      <c r="E14" s="1">
        <f t="shared" si="1"/>
        <v>-40</v>
      </c>
      <c r="F14" s="1" t="s">
        <v>8</v>
      </c>
      <c r="G14" s="1">
        <f t="shared" si="0"/>
        <v>3</v>
      </c>
      <c r="H14" s="1" t="str">
        <v>Petty cash</v>
      </c>
      <c r="Q14" s="1">
        <v>40</v>
      </c>
    </row>
    <row r="15" spans="1:17">
      <c r="A15" s="1" t="s">
        <v>28</v>
      </c>
      <c r="B15" s="1" t="s">
        <v>5</v>
      </c>
      <c r="C15" s="1" t="s">
        <v>6</v>
      </c>
      <c r="D15" s="1" t="s">
        <v>29</v>
      </c>
      <c r="E15" s="1">
        <f t="shared" si="1"/>
        <v>-84</v>
      </c>
      <c r="F15" s="1" t="s">
        <v>8</v>
      </c>
      <c r="Q15" s="1">
        <v>84</v>
      </c>
    </row>
    <row r="16" spans="1:17">
      <c r="A16" s="1" t="s">
        <v>31</v>
      </c>
      <c r="B16" s="1" t="s">
        <v>5</v>
      </c>
      <c r="C16" s="1" t="s">
        <v>6</v>
      </c>
      <c r="D16" s="1" t="s">
        <v>32</v>
      </c>
      <c r="E16" s="1">
        <f t="shared" si="1"/>
        <v>-289</v>
      </c>
      <c r="F16" s="1" t="s">
        <v>8</v>
      </c>
      <c r="Q16" s="1">
        <v>289</v>
      </c>
    </row>
    <row r="17" spans="1:17">
      <c r="A17" s="1" t="s">
        <v>33</v>
      </c>
      <c r="B17" s="1" t="s">
        <v>5</v>
      </c>
      <c r="C17" s="1" t="s">
        <v>6</v>
      </c>
      <c r="D17" s="1" t="s">
        <v>34</v>
      </c>
      <c r="E17" s="1">
        <f t="shared" si="1"/>
        <v>-324.7</v>
      </c>
      <c r="F17" s="1" t="s">
        <v>8</v>
      </c>
      <c r="Q17" s="1">
        <v>324.7</v>
      </c>
    </row>
    <row r="18" spans="1:17">
      <c r="A18" s="1" t="s">
        <v>35</v>
      </c>
      <c r="B18" s="1" t="s">
        <v>5</v>
      </c>
      <c r="C18" s="1" t="s">
        <v>36</v>
      </c>
      <c r="D18" s="1" t="s">
        <v>37</v>
      </c>
      <c r="E18" s="1">
        <f t="shared" si="1"/>
        <v>-399</v>
      </c>
      <c r="F18" s="1" t="s">
        <v>8</v>
      </c>
      <c r="Q18" s="1">
        <v>399</v>
      </c>
    </row>
    <row r="19" spans="1:17">
      <c r="A19" s="1" t="s">
        <v>38</v>
      </c>
      <c r="B19" s="1" t="s">
        <v>5</v>
      </c>
      <c r="C19" s="1" t="s">
        <v>6</v>
      </c>
      <c r="D19" s="1" t="s">
        <v>39</v>
      </c>
      <c r="E19" s="1">
        <f t="shared" si="1"/>
        <v>-83</v>
      </c>
      <c r="F19" s="1" t="s">
        <v>8</v>
      </c>
      <c r="Q19" s="1">
        <v>83</v>
      </c>
    </row>
    <row r="20" spans="1:17">
      <c r="A20" s="1" t="s">
        <v>40</v>
      </c>
      <c r="B20" s="1" t="s">
        <v>5</v>
      </c>
      <c r="C20" s="1" t="s">
        <v>36</v>
      </c>
      <c r="D20" s="1" t="s">
        <v>41</v>
      </c>
      <c r="E20" s="1">
        <f t="shared" si="1"/>
        <v>-399</v>
      </c>
      <c r="F20" s="1" t="s">
        <v>8</v>
      </c>
      <c r="Q20" s="1">
        <v>399</v>
      </c>
    </row>
    <row r="21" spans="1:17">
      <c r="A21" s="1" t="s">
        <v>42</v>
      </c>
      <c r="B21" s="1" t="s">
        <v>5</v>
      </c>
      <c r="C21" s="1" t="s">
        <v>12</v>
      </c>
      <c r="D21" s="1" t="s">
        <v>43</v>
      </c>
      <c r="E21" s="1">
        <f t="shared" si="1"/>
        <v>-120</v>
      </c>
      <c r="F21" s="1" t="s">
        <v>8</v>
      </c>
      <c r="Q21" s="1">
        <v>120</v>
      </c>
    </row>
    <row r="22" spans="1:17">
      <c r="A22" s="1" t="s">
        <v>44</v>
      </c>
      <c r="B22" s="1" t="s">
        <v>5</v>
      </c>
      <c r="C22" s="1" t="s">
        <v>12</v>
      </c>
      <c r="D22" s="1" t="s">
        <v>45</v>
      </c>
      <c r="E22" s="1">
        <f t="shared" si="1"/>
        <v>-1300</v>
      </c>
      <c r="F22" s="1" t="s">
        <v>8</v>
      </c>
      <c r="Q22" s="1">
        <v>1300</v>
      </c>
    </row>
    <row r="23" spans="1:17">
      <c r="A23" s="1" t="s">
        <v>46</v>
      </c>
      <c r="B23" s="1" t="s">
        <v>5</v>
      </c>
      <c r="C23" s="1" t="s">
        <v>12</v>
      </c>
      <c r="D23" s="1" t="s">
        <v>47</v>
      </c>
      <c r="E23" s="1">
        <f t="shared" si="1"/>
        <v>-138</v>
      </c>
      <c r="F23" s="1" t="s">
        <v>8</v>
      </c>
      <c r="Q23" s="1">
        <v>138</v>
      </c>
    </row>
    <row r="24" spans="1:17">
      <c r="A24" s="1" t="s">
        <v>48</v>
      </c>
      <c r="B24" s="1" t="s">
        <v>5</v>
      </c>
      <c r="C24" s="1" t="s">
        <v>30</v>
      </c>
      <c r="D24" s="1" t="s">
        <v>49</v>
      </c>
      <c r="E24" s="1">
        <f t="shared" si="1"/>
        <v>-336</v>
      </c>
      <c r="F24" s="1" t="s">
        <v>8</v>
      </c>
      <c r="Q24" s="1">
        <v>336</v>
      </c>
    </row>
    <row r="25" spans="1:17">
      <c r="A25" s="1" t="s">
        <v>50</v>
      </c>
      <c r="B25" s="1" t="s">
        <v>5</v>
      </c>
      <c r="C25" s="1" t="s">
        <v>12</v>
      </c>
      <c r="D25" s="1" t="s">
        <v>51</v>
      </c>
      <c r="E25" s="1">
        <f t="shared" si="1"/>
        <v>-201.8</v>
      </c>
      <c r="F25" s="1" t="s">
        <v>8</v>
      </c>
      <c r="Q25" s="1">
        <v>201.8</v>
      </c>
    </row>
    <row r="26" spans="1:17">
      <c r="A26" s="1" t="s">
        <v>52</v>
      </c>
      <c r="B26" s="1" t="s">
        <v>5</v>
      </c>
      <c r="C26" s="1" t="s">
        <v>6</v>
      </c>
      <c r="D26" s="1" t="s">
        <v>23</v>
      </c>
      <c r="E26" s="1">
        <f t="shared" si="1"/>
        <v>-200</v>
      </c>
      <c r="F26" s="1" t="s">
        <v>8</v>
      </c>
      <c r="Q26" s="1">
        <v>200</v>
      </c>
    </row>
    <row r="27" spans="1:17">
      <c r="A27" s="1" t="s">
        <v>53</v>
      </c>
      <c r="B27" s="1" t="s">
        <v>5</v>
      </c>
      <c r="C27" s="1" t="s">
        <v>6</v>
      </c>
      <c r="D27" s="1" t="s">
        <v>54</v>
      </c>
      <c r="E27" s="1">
        <f t="shared" si="1"/>
        <v>-111</v>
      </c>
      <c r="F27" s="1" t="s">
        <v>8</v>
      </c>
      <c r="Q27" s="1">
        <v>111</v>
      </c>
    </row>
    <row r="28" spans="1:17">
      <c r="A28" s="1" t="s">
        <v>55</v>
      </c>
      <c r="B28" s="1" t="s">
        <v>5</v>
      </c>
      <c r="C28" s="1" t="s">
        <v>6</v>
      </c>
      <c r="D28" s="1" t="s">
        <v>14</v>
      </c>
      <c r="E28" s="1">
        <f t="shared" si="1"/>
        <v>-250</v>
      </c>
      <c r="F28" s="1" t="s">
        <v>8</v>
      </c>
      <c r="Q28" s="1">
        <v>250</v>
      </c>
    </row>
    <row r="29" spans="1:17">
      <c r="A29" s="1" t="s">
        <v>56</v>
      </c>
      <c r="B29" s="1" t="s">
        <v>5</v>
      </c>
      <c r="C29" s="1" t="s">
        <v>12</v>
      </c>
      <c r="D29" s="1" t="s">
        <v>57</v>
      </c>
      <c r="E29" s="1">
        <f t="shared" si="1"/>
        <v>-1575</v>
      </c>
      <c r="F29" s="1" t="s">
        <v>8</v>
      </c>
      <c r="Q29" s="1">
        <v>1575</v>
      </c>
    </row>
    <row r="30" spans="1:17">
      <c r="A30" s="1" t="s">
        <v>58</v>
      </c>
      <c r="B30" s="1" t="s">
        <v>5</v>
      </c>
      <c r="C30" s="1" t="s">
        <v>12</v>
      </c>
      <c r="D30" s="1" t="s">
        <v>59</v>
      </c>
      <c r="E30" s="1">
        <f t="shared" si="1"/>
        <v>-200</v>
      </c>
      <c r="F30" s="1" t="s">
        <v>8</v>
      </c>
      <c r="Q30" s="1">
        <v>200</v>
      </c>
    </row>
    <row r="31" spans="1:17">
      <c r="A31" s="1" t="s">
        <v>58</v>
      </c>
      <c r="B31" s="1" t="s">
        <v>5</v>
      </c>
      <c r="C31" s="1" t="s">
        <v>6</v>
      </c>
      <c r="D31" s="1" t="s">
        <v>60</v>
      </c>
      <c r="E31" s="1">
        <f t="shared" si="1"/>
        <v>-380</v>
      </c>
      <c r="F31" s="1" t="s">
        <v>8</v>
      </c>
      <c r="Q31" s="1">
        <v>380</v>
      </c>
    </row>
    <row r="32" spans="1:17">
      <c r="A32" s="1" t="s">
        <v>61</v>
      </c>
      <c r="B32" s="1" t="s">
        <v>5</v>
      </c>
      <c r="C32" s="1" t="s">
        <v>12</v>
      </c>
      <c r="D32" s="1" t="s">
        <v>13</v>
      </c>
      <c r="E32" s="1">
        <f t="shared" si="1"/>
        <v>-60</v>
      </c>
      <c r="F32" s="1" t="s">
        <v>8</v>
      </c>
      <c r="Q32" s="1">
        <v>60</v>
      </c>
    </row>
    <row r="33" spans="1:17">
      <c r="A33" s="1" t="s">
        <v>62</v>
      </c>
      <c r="B33" s="1" t="s">
        <v>5</v>
      </c>
      <c r="C33" s="1" t="s">
        <v>9</v>
      </c>
      <c r="D33" s="1" t="s">
        <v>63</v>
      </c>
      <c r="E33" s="1">
        <f t="shared" si="1"/>
        <v>-50</v>
      </c>
      <c r="F33" s="1" t="s">
        <v>8</v>
      </c>
      <c r="Q33" s="1">
        <v>50</v>
      </c>
    </row>
    <row r="34" spans="1:17">
      <c r="A34" s="1" t="s">
        <v>64</v>
      </c>
      <c r="B34" s="1" t="s">
        <v>5</v>
      </c>
      <c r="C34" s="1" t="s">
        <v>12</v>
      </c>
      <c r="D34" s="1" t="s">
        <v>65</v>
      </c>
      <c r="E34" s="1">
        <f t="shared" si="1"/>
        <v>-270</v>
      </c>
      <c r="F34" s="1" t="s">
        <v>8</v>
      </c>
      <c r="Q34" s="1">
        <v>270</v>
      </c>
    </row>
    <row r="35" spans="1:17">
      <c r="A35" s="1" t="s">
        <v>66</v>
      </c>
      <c r="B35" s="1" t="s">
        <v>5</v>
      </c>
      <c r="C35" s="1" t="s">
        <v>6</v>
      </c>
      <c r="D35" s="1" t="s">
        <v>67</v>
      </c>
      <c r="E35" s="1">
        <f t="shared" si="1"/>
        <v>-348</v>
      </c>
      <c r="F35" s="1" t="s">
        <v>8</v>
      </c>
      <c r="Q35" s="1">
        <v>348</v>
      </c>
    </row>
    <row r="36" spans="1:17">
      <c r="A36" s="1" t="s">
        <v>68</v>
      </c>
      <c r="B36" s="1" t="s">
        <v>5</v>
      </c>
      <c r="C36" s="1" t="s">
        <v>6</v>
      </c>
      <c r="D36" s="1" t="s">
        <v>23</v>
      </c>
      <c r="E36" s="1">
        <f t="shared" si="1"/>
        <v>-80</v>
      </c>
      <c r="F36" s="1" t="s">
        <v>8</v>
      </c>
      <c r="Q36" s="1">
        <v>80</v>
      </c>
    </row>
    <row r="37" spans="1:17">
      <c r="A37" s="1" t="s">
        <v>69</v>
      </c>
      <c r="B37" s="1" t="s">
        <v>5</v>
      </c>
      <c r="C37" s="1" t="s">
        <v>6</v>
      </c>
      <c r="D37" s="1" t="s">
        <v>70</v>
      </c>
      <c r="E37" s="1">
        <f t="shared" si="1"/>
        <v>-165</v>
      </c>
      <c r="F37" s="1" t="s">
        <v>8</v>
      </c>
      <c r="Q37" s="1">
        <v>165</v>
      </c>
    </row>
    <row r="38" spans="1:17">
      <c r="A38" s="1" t="s">
        <v>69</v>
      </c>
      <c r="B38" s="1" t="s">
        <v>5</v>
      </c>
      <c r="C38" s="1" t="s">
        <v>6</v>
      </c>
      <c r="D38" s="1" t="s">
        <v>71</v>
      </c>
      <c r="E38" s="1">
        <f t="shared" si="1"/>
        <v>-475</v>
      </c>
      <c r="F38" s="1" t="s">
        <v>8</v>
      </c>
      <c r="Q38" s="1">
        <v>475</v>
      </c>
    </row>
    <row r="39" spans="1:17">
      <c r="A39" s="1" t="s">
        <v>72</v>
      </c>
      <c r="B39" s="1" t="s">
        <v>5</v>
      </c>
      <c r="C39" s="1" t="s">
        <v>26</v>
      </c>
      <c r="D39" s="1" t="s">
        <v>73</v>
      </c>
      <c r="E39" s="1">
        <f t="shared" si="1"/>
        <v>-100</v>
      </c>
      <c r="F39" s="1" t="s">
        <v>8</v>
      </c>
      <c r="Q39" s="1">
        <v>100</v>
      </c>
    </row>
    <row r="40" spans="1:17">
      <c r="A40" s="2">
        <v>44897.888888888891</v>
      </c>
      <c r="B40" s="1" t="s">
        <v>5</v>
      </c>
      <c r="C40" s="1" t="s">
        <v>6</v>
      </c>
      <c r="D40" s="1" t="s">
        <v>74</v>
      </c>
      <c r="E40" s="1">
        <f t="shared" si="1"/>
        <v>-491</v>
      </c>
      <c r="F40" s="1" t="s">
        <v>8</v>
      </c>
      <c r="Q40" s="1">
        <v>491</v>
      </c>
    </row>
    <row r="41" spans="1:17">
      <c r="A41" s="2">
        <v>44897.669444444444</v>
      </c>
      <c r="B41" s="1" t="s">
        <v>5</v>
      </c>
      <c r="C41" s="1" t="s">
        <v>30</v>
      </c>
      <c r="D41" s="1" t="s">
        <v>75</v>
      </c>
      <c r="E41" s="1">
        <f t="shared" si="1"/>
        <v>-70</v>
      </c>
      <c r="F41" s="1" t="s">
        <v>8</v>
      </c>
      <c r="Q41" s="1">
        <v>70</v>
      </c>
    </row>
    <row r="42" spans="1:17">
      <c r="A42" s="2">
        <v>44897.616666666669</v>
      </c>
      <c r="B42" s="1" t="s">
        <v>5</v>
      </c>
      <c r="C42" s="1" t="s">
        <v>6</v>
      </c>
      <c r="D42" s="1" t="s">
        <v>23</v>
      </c>
      <c r="E42" s="1">
        <f t="shared" si="1"/>
        <v>-80</v>
      </c>
      <c r="F42" s="1" t="s">
        <v>8</v>
      </c>
      <c r="Q42" s="1">
        <v>80</v>
      </c>
    </row>
    <row r="43" spans="1:17">
      <c r="A43" s="2">
        <v>44897.615972222222</v>
      </c>
      <c r="B43" s="1" t="s">
        <v>5</v>
      </c>
      <c r="C43" s="1" t="s">
        <v>9</v>
      </c>
      <c r="D43" s="1" t="s">
        <v>17</v>
      </c>
      <c r="E43" s="1">
        <f t="shared" si="1"/>
        <v>10000</v>
      </c>
      <c r="F43" s="1" t="s">
        <v>16</v>
      </c>
      <c r="Q43" s="1">
        <v>10000</v>
      </c>
    </row>
    <row r="44" spans="1:17">
      <c r="A44" s="2">
        <v>44867.945138888892</v>
      </c>
      <c r="B44" s="1" t="s">
        <v>5</v>
      </c>
      <c r="C44" s="1" t="s">
        <v>6</v>
      </c>
      <c r="D44" s="1" t="s">
        <v>76</v>
      </c>
      <c r="E44" s="1">
        <f t="shared" si="1"/>
        <v>-373</v>
      </c>
      <c r="F44" s="1" t="s">
        <v>8</v>
      </c>
      <c r="Q44" s="1">
        <v>373</v>
      </c>
    </row>
    <row r="45" spans="1:17">
      <c r="A45" s="2">
        <v>44836.84375</v>
      </c>
      <c r="B45" s="1" t="s">
        <v>5</v>
      </c>
      <c r="C45" s="1" t="s">
        <v>6</v>
      </c>
      <c r="D45" s="1" t="s">
        <v>67</v>
      </c>
      <c r="E45" s="1">
        <f t="shared" si="1"/>
        <v>-641</v>
      </c>
      <c r="F45" s="1" t="s">
        <v>8</v>
      </c>
      <c r="Q45" s="1">
        <v>641</v>
      </c>
    </row>
    <row r="46" spans="1:17">
      <c r="A46" s="2">
        <v>44775.442361111112</v>
      </c>
      <c r="B46" s="1" t="s">
        <v>5</v>
      </c>
      <c r="C46" s="1" t="s">
        <v>9</v>
      </c>
      <c r="D46" s="1" t="s">
        <v>17</v>
      </c>
      <c r="E46" s="1">
        <f t="shared" si="1"/>
        <v>1000</v>
      </c>
      <c r="F46" s="1" t="s">
        <v>16</v>
      </c>
      <c r="Q46" s="1">
        <v>1000</v>
      </c>
    </row>
    <row r="47" spans="1:17">
      <c r="A47" s="2">
        <v>44775.387499999997</v>
      </c>
      <c r="B47" s="1" t="s">
        <v>5</v>
      </c>
      <c r="C47" s="1" t="s">
        <v>30</v>
      </c>
      <c r="D47" s="1" t="s">
        <v>77</v>
      </c>
      <c r="E47" s="1">
        <f t="shared" si="1"/>
        <v>-2099</v>
      </c>
      <c r="F47" s="1" t="s">
        <v>8</v>
      </c>
      <c r="Q47" s="1">
        <v>2099</v>
      </c>
    </row>
    <row r="48" spans="1:17">
      <c r="A48" s="2">
        <v>44744.297222222223</v>
      </c>
      <c r="B48" s="1" t="s">
        <v>5</v>
      </c>
      <c r="C48" s="1" t="s">
        <v>12</v>
      </c>
      <c r="D48" s="1" t="s">
        <v>78</v>
      </c>
      <c r="E48" s="1">
        <f t="shared" si="1"/>
        <v>-214</v>
      </c>
      <c r="F48" s="1" t="s">
        <v>8</v>
      </c>
      <c r="Q48" s="1">
        <v>214</v>
      </c>
    </row>
    <row r="49" spans="1:17">
      <c r="A49" s="2">
        <v>44714.772222222222</v>
      </c>
      <c r="B49" s="1" t="s">
        <v>5</v>
      </c>
      <c r="C49" s="1" t="s">
        <v>6</v>
      </c>
      <c r="D49" s="1" t="s">
        <v>79</v>
      </c>
      <c r="E49" s="1">
        <f t="shared" si="1"/>
        <v>-125</v>
      </c>
      <c r="F49" s="1" t="s">
        <v>8</v>
      </c>
      <c r="Q49" s="1">
        <v>125</v>
      </c>
    </row>
    <row r="50" spans="1:17">
      <c r="A50" s="2">
        <v>44714.745138888888</v>
      </c>
      <c r="B50" s="1" t="s">
        <v>5</v>
      </c>
      <c r="C50" s="1" t="s">
        <v>6</v>
      </c>
      <c r="D50" s="1" t="s">
        <v>80</v>
      </c>
      <c r="E50" s="1">
        <f t="shared" si="1"/>
        <v>-150</v>
      </c>
      <c r="F50" s="1" t="s">
        <v>8</v>
      </c>
      <c r="Q50" s="1">
        <v>150</v>
      </c>
    </row>
    <row r="51" spans="1:17">
      <c r="A51" s="2">
        <v>44714.744444444441</v>
      </c>
      <c r="B51" s="1" t="s">
        <v>5</v>
      </c>
      <c r="C51" s="1" t="s">
        <v>12</v>
      </c>
      <c r="D51" s="1" t="s">
        <v>81</v>
      </c>
      <c r="E51" s="1">
        <f t="shared" si="1"/>
        <v>-1000</v>
      </c>
      <c r="F51" s="1" t="s">
        <v>8</v>
      </c>
      <c r="Q51" s="1">
        <v>1000</v>
      </c>
    </row>
    <row r="52" spans="1:17">
      <c r="A52" s="2">
        <v>44714.695138888892</v>
      </c>
      <c r="B52" s="1" t="s">
        <v>5</v>
      </c>
      <c r="C52" s="1" t="s">
        <v>9</v>
      </c>
      <c r="D52" s="1" t="s">
        <v>82</v>
      </c>
      <c r="E52" s="1">
        <f t="shared" si="1"/>
        <v>5000</v>
      </c>
      <c r="F52" s="1" t="s">
        <v>16</v>
      </c>
      <c r="Q52" s="1">
        <v>5000</v>
      </c>
    </row>
    <row r="53" spans="1:17">
      <c r="A53" s="2">
        <v>44714.694444444445</v>
      </c>
      <c r="B53" s="1" t="s">
        <v>5</v>
      </c>
      <c r="C53" s="1" t="s">
        <v>9</v>
      </c>
      <c r="D53" s="1" t="s">
        <v>83</v>
      </c>
      <c r="E53" s="1">
        <f t="shared" si="1"/>
        <v>-1500</v>
      </c>
      <c r="F53" s="1" t="s">
        <v>8</v>
      </c>
      <c r="Q53" s="1">
        <v>1500</v>
      </c>
    </row>
    <row r="54" spans="1:17">
      <c r="A54" s="2">
        <v>44653.852777777778</v>
      </c>
      <c r="B54" s="1" t="s">
        <v>5</v>
      </c>
      <c r="C54" s="1" t="s">
        <v>6</v>
      </c>
      <c r="D54" s="1" t="s">
        <v>84</v>
      </c>
      <c r="E54" s="1">
        <f t="shared" si="1"/>
        <v>-80</v>
      </c>
      <c r="F54" s="1" t="s">
        <v>8</v>
      </c>
      <c r="Q54" s="1">
        <v>80</v>
      </c>
    </row>
    <row r="55" spans="1:17">
      <c r="A55" s="2">
        <v>44622.620138888888</v>
      </c>
      <c r="B55" s="1" t="s">
        <v>5</v>
      </c>
      <c r="C55" s="1" t="s">
        <v>6</v>
      </c>
      <c r="D55" s="1" t="s">
        <v>85</v>
      </c>
      <c r="E55" s="1">
        <f t="shared" si="1"/>
        <v>-50</v>
      </c>
      <c r="F55" s="1" t="s">
        <v>8</v>
      </c>
      <c r="Q55" s="1">
        <v>50</v>
      </c>
    </row>
    <row r="56" spans="1:17">
      <c r="A56" s="2">
        <v>44622.374305555553</v>
      </c>
      <c r="B56" s="1" t="s">
        <v>5</v>
      </c>
      <c r="C56" s="1" t="s">
        <v>9</v>
      </c>
      <c r="D56" s="1" t="s">
        <v>86</v>
      </c>
      <c r="E56" s="1">
        <f t="shared" si="1"/>
        <v>-150</v>
      </c>
      <c r="F56" s="1" t="s">
        <v>8</v>
      </c>
      <c r="Q56" s="1">
        <v>150</v>
      </c>
    </row>
    <row r="57" spans="1:17">
      <c r="A57" s="2">
        <v>44594.84375</v>
      </c>
      <c r="B57" s="1" t="s">
        <v>5</v>
      </c>
      <c r="C57" s="1" t="s">
        <v>6</v>
      </c>
      <c r="D57" s="1" t="s">
        <v>87</v>
      </c>
      <c r="E57" s="1">
        <f t="shared" si="1"/>
        <v>-120</v>
      </c>
      <c r="F57" s="1" t="s">
        <v>8</v>
      </c>
      <c r="Q57" s="1">
        <v>120</v>
      </c>
    </row>
    <row r="58" spans="1:17">
      <c r="A58" s="2">
        <v>44594.843055555553</v>
      </c>
      <c r="B58" s="1" t="s">
        <v>5</v>
      </c>
      <c r="C58" s="1" t="s">
        <v>9</v>
      </c>
      <c r="D58" s="1" t="s">
        <v>17</v>
      </c>
      <c r="E58" s="1">
        <f t="shared" si="1"/>
        <v>500</v>
      </c>
      <c r="F58" s="1" t="s">
        <v>16</v>
      </c>
      <c r="Q58" s="1">
        <v>500</v>
      </c>
    </row>
    <row r="59" spans="1:17">
      <c r="A59" s="1" t="s">
        <v>88</v>
      </c>
      <c r="B59" s="1" t="s">
        <v>5</v>
      </c>
      <c r="C59" s="1" t="s">
        <v>12</v>
      </c>
      <c r="D59" s="1" t="s">
        <v>89</v>
      </c>
      <c r="E59" s="1">
        <f t="shared" si="1"/>
        <v>-50</v>
      </c>
      <c r="F59" s="1" t="s">
        <v>8</v>
      </c>
      <c r="Q59" s="1">
        <v>50</v>
      </c>
    </row>
    <row r="60" spans="1:17">
      <c r="A60" s="1" t="s">
        <v>90</v>
      </c>
      <c r="B60" s="1" t="s">
        <v>5</v>
      </c>
      <c r="C60" s="1" t="s">
        <v>9</v>
      </c>
      <c r="D60" s="1" t="s">
        <v>91</v>
      </c>
      <c r="E60" s="1">
        <f t="shared" si="1"/>
        <v>-200</v>
      </c>
      <c r="F60" s="1" t="s">
        <v>8</v>
      </c>
      <c r="Q60" s="1">
        <v>200</v>
      </c>
    </row>
    <row r="61" spans="1:17">
      <c r="A61" s="1" t="s">
        <v>92</v>
      </c>
      <c r="B61" s="1" t="s">
        <v>5</v>
      </c>
      <c r="C61" s="1" t="s">
        <v>12</v>
      </c>
      <c r="D61" s="1" t="s">
        <v>93</v>
      </c>
      <c r="E61" s="1">
        <f t="shared" si="1"/>
        <v>-153</v>
      </c>
      <c r="F61" s="1" t="s">
        <v>8</v>
      </c>
      <c r="Q61" s="1">
        <v>153</v>
      </c>
    </row>
    <row r="62" spans="1:17">
      <c r="A62" s="1" t="s">
        <v>94</v>
      </c>
      <c r="B62" s="1" t="s">
        <v>5</v>
      </c>
      <c r="C62" s="1" t="s">
        <v>6</v>
      </c>
      <c r="D62" s="1" t="s">
        <v>11</v>
      </c>
      <c r="E62" s="1">
        <f t="shared" si="1"/>
        <v>-155</v>
      </c>
      <c r="F62" s="1" t="s">
        <v>8</v>
      </c>
      <c r="Q62" s="1">
        <v>155</v>
      </c>
    </row>
    <row r="63" spans="1:17">
      <c r="A63" s="1" t="s">
        <v>95</v>
      </c>
      <c r="B63" s="1" t="s">
        <v>5</v>
      </c>
      <c r="C63" s="1" t="s">
        <v>6</v>
      </c>
      <c r="D63" s="1" t="s">
        <v>96</v>
      </c>
      <c r="E63" s="1">
        <f t="shared" si="1"/>
        <v>-120</v>
      </c>
      <c r="F63" s="1" t="s">
        <v>8</v>
      </c>
      <c r="Q63" s="1">
        <v>120</v>
      </c>
    </row>
    <row r="64" spans="1:17">
      <c r="A64" s="1" t="s">
        <v>97</v>
      </c>
      <c r="B64" s="1" t="s">
        <v>5</v>
      </c>
      <c r="C64" s="1" t="s">
        <v>6</v>
      </c>
      <c r="D64" s="1" t="s">
        <v>98</v>
      </c>
      <c r="E64" s="1">
        <f t="shared" si="1"/>
        <v>-105</v>
      </c>
      <c r="F64" s="1" t="s">
        <v>8</v>
      </c>
      <c r="Q64" s="1">
        <v>105</v>
      </c>
    </row>
    <row r="65" spans="1:17">
      <c r="A65" s="1" t="s">
        <v>99</v>
      </c>
      <c r="B65" s="1" t="s">
        <v>5</v>
      </c>
      <c r="C65" s="1" t="s">
        <v>12</v>
      </c>
      <c r="D65" s="1" t="s">
        <v>100</v>
      </c>
      <c r="E65" s="1">
        <f t="shared" si="1"/>
        <v>-44</v>
      </c>
      <c r="F65" s="1" t="s">
        <v>8</v>
      </c>
      <c r="Q65" s="1">
        <v>44</v>
      </c>
    </row>
    <row r="66" spans="1:17">
      <c r="A66" s="1" t="s">
        <v>101</v>
      </c>
      <c r="B66" s="1" t="s">
        <v>5</v>
      </c>
      <c r="C66" s="1" t="s">
        <v>9</v>
      </c>
      <c r="D66" s="1" t="s">
        <v>102</v>
      </c>
      <c r="E66" s="1">
        <f t="shared" si="1"/>
        <v>-100</v>
      </c>
      <c r="F66" s="1" t="s">
        <v>8</v>
      </c>
      <c r="Q66" s="1">
        <v>100</v>
      </c>
    </row>
    <row r="67" spans="1:17">
      <c r="A67" s="1" t="s">
        <v>103</v>
      </c>
      <c r="B67" s="1" t="s">
        <v>5</v>
      </c>
      <c r="C67" s="1" t="s">
        <v>6</v>
      </c>
      <c r="D67" s="1" t="s">
        <v>104</v>
      </c>
      <c r="E67" s="1">
        <f t="shared" ref="E67:E130" si="2">IF(F67="Expense", -Q67, Q67)</f>
        <v>-10</v>
      </c>
      <c r="F67" s="1" t="s">
        <v>8</v>
      </c>
      <c r="Q67" s="1">
        <v>10</v>
      </c>
    </row>
    <row r="68" spans="1:17">
      <c r="A68" s="1" t="s">
        <v>105</v>
      </c>
      <c r="B68" s="1" t="s">
        <v>5</v>
      </c>
      <c r="C68" s="1" t="s">
        <v>6</v>
      </c>
      <c r="D68" s="1" t="s">
        <v>106</v>
      </c>
      <c r="E68" s="1">
        <f t="shared" si="2"/>
        <v>-138</v>
      </c>
      <c r="F68" s="1" t="s">
        <v>8</v>
      </c>
      <c r="Q68" s="1">
        <v>138</v>
      </c>
    </row>
    <row r="69" spans="1:17">
      <c r="A69" s="1" t="s">
        <v>107</v>
      </c>
      <c r="B69" s="1" t="s">
        <v>5</v>
      </c>
      <c r="C69" s="1" t="s">
        <v>12</v>
      </c>
      <c r="D69" s="1" t="s">
        <v>100</v>
      </c>
      <c r="E69" s="1">
        <f t="shared" si="2"/>
        <v>-43</v>
      </c>
      <c r="F69" s="1" t="s">
        <v>8</v>
      </c>
      <c r="Q69" s="1">
        <v>43</v>
      </c>
    </row>
    <row r="70" spans="1:17">
      <c r="A70" s="1" t="s">
        <v>108</v>
      </c>
      <c r="B70" s="1" t="s">
        <v>5</v>
      </c>
      <c r="C70" s="1" t="s">
        <v>9</v>
      </c>
      <c r="D70" s="1" t="s">
        <v>91</v>
      </c>
      <c r="E70" s="1">
        <f t="shared" si="2"/>
        <v>-300</v>
      </c>
      <c r="F70" s="1" t="s">
        <v>8</v>
      </c>
      <c r="Q70" s="1">
        <v>300</v>
      </c>
    </row>
    <row r="71" spans="1:17">
      <c r="A71" s="1" t="s">
        <v>108</v>
      </c>
      <c r="B71" s="1" t="s">
        <v>5</v>
      </c>
      <c r="C71" s="1" t="s">
        <v>9</v>
      </c>
      <c r="D71" s="1" t="s">
        <v>109</v>
      </c>
      <c r="E71" s="1">
        <f t="shared" si="2"/>
        <v>-100</v>
      </c>
      <c r="F71" s="1" t="s">
        <v>8</v>
      </c>
      <c r="Q71" s="1">
        <v>100</v>
      </c>
    </row>
    <row r="72" spans="1:17">
      <c r="A72" s="1" t="s">
        <v>110</v>
      </c>
      <c r="B72" s="1" t="s">
        <v>5</v>
      </c>
      <c r="C72" s="1" t="s">
        <v>6</v>
      </c>
      <c r="D72" s="1" t="s">
        <v>111</v>
      </c>
      <c r="E72" s="1">
        <f t="shared" si="2"/>
        <v>-279</v>
      </c>
      <c r="F72" s="1" t="s">
        <v>8</v>
      </c>
      <c r="Q72" s="1">
        <v>279</v>
      </c>
    </row>
    <row r="73" spans="1:17">
      <c r="A73" s="1" t="s">
        <v>112</v>
      </c>
      <c r="B73" s="1" t="s">
        <v>5</v>
      </c>
      <c r="C73" s="1" t="s">
        <v>9</v>
      </c>
      <c r="D73" s="1" t="s">
        <v>15</v>
      </c>
      <c r="E73" s="1">
        <f t="shared" si="2"/>
        <v>300</v>
      </c>
      <c r="F73" s="1" t="s">
        <v>16</v>
      </c>
      <c r="Q73" s="1">
        <v>300</v>
      </c>
    </row>
    <row r="74" spans="1:17">
      <c r="A74" s="1" t="s">
        <v>112</v>
      </c>
      <c r="B74" s="1" t="s">
        <v>5</v>
      </c>
      <c r="C74" s="1" t="s">
        <v>9</v>
      </c>
      <c r="D74" s="1" t="s">
        <v>17</v>
      </c>
      <c r="E74" s="1">
        <f t="shared" si="2"/>
        <v>1500</v>
      </c>
      <c r="F74" s="1" t="s">
        <v>16</v>
      </c>
      <c r="Q74" s="1">
        <v>1500</v>
      </c>
    </row>
    <row r="75" spans="1:17">
      <c r="A75" s="1" t="s">
        <v>113</v>
      </c>
      <c r="B75" s="1" t="s">
        <v>5</v>
      </c>
      <c r="C75" s="1" t="s">
        <v>6</v>
      </c>
      <c r="D75" s="1" t="s">
        <v>14</v>
      </c>
      <c r="E75" s="1">
        <f t="shared" si="2"/>
        <v>-115</v>
      </c>
      <c r="F75" s="1" t="s">
        <v>8</v>
      </c>
      <c r="Q75" s="1">
        <v>115</v>
      </c>
    </row>
    <row r="76" spans="1:17">
      <c r="A76" s="1" t="s">
        <v>113</v>
      </c>
      <c r="B76" s="1" t="s">
        <v>5</v>
      </c>
      <c r="C76" s="1" t="s">
        <v>9</v>
      </c>
      <c r="D76" s="1" t="s">
        <v>114</v>
      </c>
      <c r="E76" s="1">
        <f t="shared" si="2"/>
        <v>125</v>
      </c>
      <c r="F76" s="1" t="s">
        <v>16</v>
      </c>
      <c r="Q76" s="1">
        <v>125</v>
      </c>
    </row>
    <row r="77" spans="1:17">
      <c r="A77" s="1" t="s">
        <v>115</v>
      </c>
      <c r="B77" s="1" t="s">
        <v>5</v>
      </c>
      <c r="C77" s="1" t="s">
        <v>6</v>
      </c>
      <c r="D77" s="1" t="s">
        <v>116</v>
      </c>
      <c r="E77" s="1">
        <f t="shared" si="2"/>
        <v>-25</v>
      </c>
      <c r="F77" s="1" t="s">
        <v>8</v>
      </c>
      <c r="Q77" s="1">
        <v>25</v>
      </c>
    </row>
    <row r="78" spans="1:17">
      <c r="A78" s="1" t="s">
        <v>117</v>
      </c>
      <c r="B78" s="1" t="s">
        <v>5</v>
      </c>
      <c r="C78" s="1" t="s">
        <v>6</v>
      </c>
      <c r="D78" s="1" t="s">
        <v>118</v>
      </c>
      <c r="E78" s="1">
        <f t="shared" si="2"/>
        <v>-259</v>
      </c>
      <c r="F78" s="1" t="s">
        <v>8</v>
      </c>
      <c r="Q78" s="1">
        <v>259</v>
      </c>
    </row>
    <row r="79" spans="1:17">
      <c r="A79" s="1" t="s">
        <v>119</v>
      </c>
      <c r="B79" s="1" t="s">
        <v>5</v>
      </c>
      <c r="C79" s="1" t="s">
        <v>6</v>
      </c>
      <c r="D79" s="1" t="s">
        <v>120</v>
      </c>
      <c r="E79" s="1">
        <f t="shared" si="2"/>
        <v>-18</v>
      </c>
      <c r="F79" s="1" t="s">
        <v>8</v>
      </c>
      <c r="Q79" s="1">
        <v>18</v>
      </c>
    </row>
    <row r="80" spans="1:17">
      <c r="A80" s="1" t="s">
        <v>121</v>
      </c>
      <c r="B80" s="1" t="s">
        <v>5</v>
      </c>
      <c r="C80" s="1" t="s">
        <v>12</v>
      </c>
      <c r="D80" s="1" t="s">
        <v>122</v>
      </c>
      <c r="E80" s="1">
        <f t="shared" si="2"/>
        <v>-325</v>
      </c>
      <c r="F80" s="1" t="s">
        <v>8</v>
      </c>
      <c r="Q80" s="1">
        <v>325</v>
      </c>
    </row>
    <row r="81" spans="1:17">
      <c r="A81" s="1" t="s">
        <v>123</v>
      </c>
      <c r="B81" s="1" t="s">
        <v>5</v>
      </c>
      <c r="C81" s="1" t="s">
        <v>6</v>
      </c>
      <c r="D81" s="1" t="s">
        <v>124</v>
      </c>
      <c r="E81" s="1">
        <f t="shared" si="2"/>
        <v>-40</v>
      </c>
      <c r="F81" s="1" t="s">
        <v>8</v>
      </c>
      <c r="Q81" s="1">
        <v>40</v>
      </c>
    </row>
    <row r="82" spans="1:17">
      <c r="A82" s="1" t="s">
        <v>125</v>
      </c>
      <c r="B82" s="1" t="s">
        <v>5</v>
      </c>
      <c r="C82" s="1" t="s">
        <v>6</v>
      </c>
      <c r="D82" s="1" t="s">
        <v>106</v>
      </c>
      <c r="E82" s="1">
        <f t="shared" si="2"/>
        <v>-133</v>
      </c>
      <c r="F82" s="1" t="s">
        <v>8</v>
      </c>
      <c r="Q82" s="1">
        <v>133</v>
      </c>
    </row>
    <row r="83" spans="1:17">
      <c r="A83" s="1" t="s">
        <v>126</v>
      </c>
      <c r="B83" s="1" t="s">
        <v>5</v>
      </c>
      <c r="C83" s="1" t="s">
        <v>6</v>
      </c>
      <c r="D83" s="1" t="s">
        <v>127</v>
      </c>
      <c r="E83" s="1">
        <f t="shared" si="2"/>
        <v>-40</v>
      </c>
      <c r="F83" s="1" t="s">
        <v>8</v>
      </c>
      <c r="Q83" s="1">
        <v>40</v>
      </c>
    </row>
    <row r="84" spans="1:17">
      <c r="A84" s="1" t="s">
        <v>128</v>
      </c>
      <c r="B84" s="1" t="s">
        <v>5</v>
      </c>
      <c r="C84" s="1" t="s">
        <v>6</v>
      </c>
      <c r="D84" s="1" t="s">
        <v>11</v>
      </c>
      <c r="E84" s="1">
        <f t="shared" si="2"/>
        <v>-465</v>
      </c>
      <c r="F84" s="1" t="s">
        <v>8</v>
      </c>
      <c r="Q84" s="1">
        <v>465</v>
      </c>
    </row>
    <row r="85" spans="1:17">
      <c r="A85" s="1" t="s">
        <v>129</v>
      </c>
      <c r="B85" s="1" t="s">
        <v>5</v>
      </c>
      <c r="C85" s="1" t="s">
        <v>6</v>
      </c>
      <c r="D85" s="1" t="s">
        <v>130</v>
      </c>
      <c r="E85" s="1">
        <f t="shared" si="2"/>
        <v>-300</v>
      </c>
      <c r="F85" s="1" t="s">
        <v>8</v>
      </c>
      <c r="Q85" s="1">
        <v>300</v>
      </c>
    </row>
    <row r="86" spans="1:17">
      <c r="A86" s="1" t="s">
        <v>129</v>
      </c>
      <c r="B86" s="1" t="s">
        <v>5</v>
      </c>
      <c r="C86" s="1" t="s">
        <v>6</v>
      </c>
      <c r="D86" s="1" t="s">
        <v>23</v>
      </c>
      <c r="E86" s="1">
        <f t="shared" si="2"/>
        <v>-302</v>
      </c>
      <c r="F86" s="1" t="s">
        <v>8</v>
      </c>
      <c r="Q86" s="1">
        <v>302</v>
      </c>
    </row>
    <row r="87" spans="1:17">
      <c r="A87" s="1" t="s">
        <v>129</v>
      </c>
      <c r="B87" s="1" t="s">
        <v>5</v>
      </c>
      <c r="C87" s="1" t="s">
        <v>9</v>
      </c>
      <c r="D87" s="1" t="s">
        <v>15</v>
      </c>
      <c r="E87" s="1">
        <f t="shared" si="2"/>
        <v>310</v>
      </c>
      <c r="F87" s="1" t="s">
        <v>16</v>
      </c>
      <c r="Q87" s="1">
        <v>310</v>
      </c>
    </row>
    <row r="88" spans="1:17">
      <c r="A88" s="1" t="s">
        <v>131</v>
      </c>
      <c r="B88" s="1" t="s">
        <v>5</v>
      </c>
      <c r="C88" s="1" t="s">
        <v>6</v>
      </c>
      <c r="D88" s="1" t="s">
        <v>132</v>
      </c>
      <c r="E88" s="1">
        <f t="shared" si="2"/>
        <v>-176</v>
      </c>
      <c r="F88" s="1" t="s">
        <v>8</v>
      </c>
      <c r="Q88" s="1">
        <v>176</v>
      </c>
    </row>
    <row r="89" spans="1:17">
      <c r="A89" s="1" t="s">
        <v>131</v>
      </c>
      <c r="B89" s="1" t="s">
        <v>5</v>
      </c>
      <c r="C89" s="1" t="s">
        <v>26</v>
      </c>
      <c r="D89" s="1" t="s">
        <v>133</v>
      </c>
      <c r="E89" s="1">
        <f t="shared" si="2"/>
        <v>-200</v>
      </c>
      <c r="F89" s="1" t="s">
        <v>8</v>
      </c>
      <c r="Q89" s="1">
        <v>200</v>
      </c>
    </row>
    <row r="90" spans="1:17">
      <c r="A90" s="1" t="s">
        <v>131</v>
      </c>
      <c r="B90" s="1" t="s">
        <v>5</v>
      </c>
      <c r="C90" s="1" t="s">
        <v>9</v>
      </c>
      <c r="D90" s="1" t="s">
        <v>17</v>
      </c>
      <c r="E90" s="1">
        <f t="shared" si="2"/>
        <v>2000</v>
      </c>
      <c r="F90" s="1" t="s">
        <v>16</v>
      </c>
      <c r="Q90" s="1">
        <v>2000</v>
      </c>
    </row>
    <row r="91" spans="1:17">
      <c r="A91" s="1" t="s">
        <v>134</v>
      </c>
      <c r="B91" s="1" t="s">
        <v>5</v>
      </c>
      <c r="C91" s="1" t="s">
        <v>6</v>
      </c>
      <c r="D91" s="1" t="s">
        <v>106</v>
      </c>
      <c r="E91" s="1">
        <f t="shared" si="2"/>
        <v>-188</v>
      </c>
      <c r="F91" s="1" t="s">
        <v>8</v>
      </c>
      <c r="Q91" s="1">
        <v>188</v>
      </c>
    </row>
    <row r="92" spans="1:17">
      <c r="A92" s="1" t="s">
        <v>135</v>
      </c>
      <c r="B92" s="1" t="s">
        <v>5</v>
      </c>
      <c r="C92" s="1" t="s">
        <v>6</v>
      </c>
      <c r="D92" s="1" t="s">
        <v>14</v>
      </c>
      <c r="E92" s="1">
        <f t="shared" si="2"/>
        <v>-37</v>
      </c>
      <c r="F92" s="1" t="s">
        <v>8</v>
      </c>
      <c r="Q92" s="1">
        <v>37</v>
      </c>
    </row>
    <row r="93" spans="1:17">
      <c r="A93" s="1" t="s">
        <v>135</v>
      </c>
      <c r="B93" s="1" t="s">
        <v>5</v>
      </c>
      <c r="C93" s="1" t="s">
        <v>9</v>
      </c>
      <c r="D93" s="1" t="s">
        <v>15</v>
      </c>
      <c r="E93" s="1">
        <f t="shared" si="2"/>
        <v>200</v>
      </c>
      <c r="F93" s="1" t="s">
        <v>16</v>
      </c>
      <c r="Q93" s="1">
        <v>200</v>
      </c>
    </row>
    <row r="94" spans="1:17">
      <c r="A94" s="1" t="s">
        <v>136</v>
      </c>
      <c r="B94" s="1" t="s">
        <v>5</v>
      </c>
      <c r="C94" s="1" t="s">
        <v>6</v>
      </c>
      <c r="D94" s="1" t="s">
        <v>137</v>
      </c>
      <c r="E94" s="1">
        <f t="shared" si="2"/>
        <v>-171</v>
      </c>
      <c r="F94" s="1" t="s">
        <v>8</v>
      </c>
      <c r="Q94" s="1">
        <v>171</v>
      </c>
    </row>
    <row r="95" spans="1:17">
      <c r="A95" s="1" t="s">
        <v>138</v>
      </c>
      <c r="B95" s="1" t="s">
        <v>5</v>
      </c>
      <c r="C95" s="1" t="s">
        <v>6</v>
      </c>
      <c r="D95" s="1" t="s">
        <v>11</v>
      </c>
      <c r="E95" s="1">
        <f t="shared" si="2"/>
        <v>-301.14999999999998</v>
      </c>
      <c r="F95" s="1" t="s">
        <v>8</v>
      </c>
      <c r="Q95" s="1">
        <v>301.14999999999998</v>
      </c>
    </row>
    <row r="96" spans="1:17">
      <c r="A96" s="1" t="s">
        <v>139</v>
      </c>
      <c r="B96" s="1" t="s">
        <v>5</v>
      </c>
      <c r="C96" s="1" t="s">
        <v>6</v>
      </c>
      <c r="D96" s="1" t="s">
        <v>140</v>
      </c>
      <c r="E96" s="1">
        <f t="shared" si="2"/>
        <v>-59</v>
      </c>
      <c r="F96" s="1" t="s">
        <v>8</v>
      </c>
      <c r="Q96" s="1">
        <v>59</v>
      </c>
    </row>
    <row r="97" spans="1:17">
      <c r="A97" s="1" t="s">
        <v>141</v>
      </c>
      <c r="B97" s="1" t="s">
        <v>5</v>
      </c>
      <c r="C97" s="1" t="s">
        <v>6</v>
      </c>
      <c r="D97" s="1" t="s">
        <v>106</v>
      </c>
      <c r="E97" s="1">
        <f t="shared" si="2"/>
        <v>-148</v>
      </c>
      <c r="F97" s="1" t="s">
        <v>8</v>
      </c>
      <c r="Q97" s="1">
        <v>148</v>
      </c>
    </row>
    <row r="98" spans="1:17">
      <c r="A98" s="1" t="s">
        <v>142</v>
      </c>
      <c r="B98" s="1" t="s">
        <v>5</v>
      </c>
      <c r="C98" s="1" t="s">
        <v>9</v>
      </c>
      <c r="D98" s="1" t="s">
        <v>80</v>
      </c>
      <c r="E98" s="1">
        <f t="shared" si="2"/>
        <v>-200</v>
      </c>
      <c r="F98" s="1" t="s">
        <v>8</v>
      </c>
      <c r="Q98" s="1">
        <v>200</v>
      </c>
    </row>
    <row r="99" spans="1:17">
      <c r="A99" s="1" t="s">
        <v>142</v>
      </c>
      <c r="B99" s="1" t="s">
        <v>5</v>
      </c>
      <c r="C99" s="1" t="s">
        <v>9</v>
      </c>
      <c r="D99" s="1" t="s">
        <v>17</v>
      </c>
      <c r="E99" s="1">
        <f t="shared" si="2"/>
        <v>1000</v>
      </c>
      <c r="F99" s="1" t="s">
        <v>16</v>
      </c>
      <c r="Q99" s="1">
        <v>1000</v>
      </c>
    </row>
    <row r="100" spans="1:17">
      <c r="A100" s="1" t="s">
        <v>143</v>
      </c>
      <c r="B100" s="1" t="s">
        <v>5</v>
      </c>
      <c r="C100" s="1" t="s">
        <v>6</v>
      </c>
      <c r="D100" s="1" t="s">
        <v>144</v>
      </c>
      <c r="E100" s="1">
        <f t="shared" si="2"/>
        <v>-100</v>
      </c>
      <c r="F100" s="1" t="s">
        <v>8</v>
      </c>
      <c r="Q100" s="1">
        <v>100</v>
      </c>
    </row>
    <row r="101" spans="1:17">
      <c r="A101" s="1" t="s">
        <v>145</v>
      </c>
      <c r="B101" s="1" t="s">
        <v>5</v>
      </c>
      <c r="C101" s="1" t="s">
        <v>12</v>
      </c>
      <c r="D101" s="1" t="s">
        <v>146</v>
      </c>
      <c r="E101" s="1">
        <f t="shared" si="2"/>
        <v>-1365</v>
      </c>
      <c r="F101" s="1" t="s">
        <v>8</v>
      </c>
      <c r="Q101" s="1">
        <v>1365</v>
      </c>
    </row>
    <row r="102" spans="1:17">
      <c r="A102" s="1" t="s">
        <v>147</v>
      </c>
      <c r="B102" s="1" t="s">
        <v>5</v>
      </c>
      <c r="C102" s="1" t="s">
        <v>9</v>
      </c>
      <c r="D102" s="1" t="s">
        <v>17</v>
      </c>
      <c r="E102" s="1">
        <f t="shared" si="2"/>
        <v>1500</v>
      </c>
      <c r="F102" s="1" t="s">
        <v>16</v>
      </c>
      <c r="Q102" s="1">
        <v>1500</v>
      </c>
    </row>
    <row r="103" spans="1:17">
      <c r="A103" s="1" t="s">
        <v>147</v>
      </c>
      <c r="B103" s="1" t="s">
        <v>5</v>
      </c>
      <c r="C103" s="1" t="s">
        <v>6</v>
      </c>
      <c r="D103" s="1" t="s">
        <v>14</v>
      </c>
      <c r="E103" s="1">
        <f t="shared" si="2"/>
        <v>-70</v>
      </c>
      <c r="F103" s="1" t="s">
        <v>8</v>
      </c>
      <c r="Q103" s="1">
        <v>70</v>
      </c>
    </row>
    <row r="104" spans="1:17">
      <c r="A104" s="1" t="s">
        <v>148</v>
      </c>
      <c r="B104" s="1" t="s">
        <v>5</v>
      </c>
      <c r="C104" s="1" t="s">
        <v>9</v>
      </c>
      <c r="D104" s="1" t="s">
        <v>149</v>
      </c>
      <c r="E104" s="1">
        <f t="shared" si="2"/>
        <v>170</v>
      </c>
      <c r="F104" s="1" t="s">
        <v>16</v>
      </c>
      <c r="Q104" s="1">
        <v>170</v>
      </c>
    </row>
    <row r="105" spans="1:17">
      <c r="A105" s="1" t="s">
        <v>150</v>
      </c>
      <c r="B105" s="1" t="s">
        <v>5</v>
      </c>
      <c r="C105" s="1" t="s">
        <v>9</v>
      </c>
      <c r="D105" s="1" t="s">
        <v>151</v>
      </c>
      <c r="E105" s="1">
        <f t="shared" si="2"/>
        <v>70</v>
      </c>
      <c r="F105" s="1" t="s">
        <v>16</v>
      </c>
      <c r="Q105" s="1">
        <v>70</v>
      </c>
    </row>
    <row r="106" spans="1:17">
      <c r="A106" s="1" t="s">
        <v>150</v>
      </c>
      <c r="B106" s="1" t="s">
        <v>5</v>
      </c>
      <c r="C106" s="1" t="s">
        <v>9</v>
      </c>
      <c r="D106" s="1" t="s">
        <v>152</v>
      </c>
      <c r="E106" s="1">
        <f t="shared" si="2"/>
        <v>340</v>
      </c>
      <c r="F106" s="1" t="s">
        <v>16</v>
      </c>
      <c r="Q106" s="1">
        <v>340</v>
      </c>
    </row>
    <row r="107" spans="1:17">
      <c r="A107" s="1" t="s">
        <v>153</v>
      </c>
      <c r="B107" s="1" t="s">
        <v>5</v>
      </c>
      <c r="C107" s="1" t="s">
        <v>9</v>
      </c>
      <c r="D107" s="1" t="s">
        <v>154</v>
      </c>
      <c r="E107" s="1">
        <f t="shared" si="2"/>
        <v>240</v>
      </c>
      <c r="F107" s="1" t="s">
        <v>16</v>
      </c>
      <c r="Q107" s="1">
        <v>240</v>
      </c>
    </row>
    <row r="108" spans="1:17">
      <c r="A108" s="1" t="s">
        <v>155</v>
      </c>
      <c r="B108" s="1" t="s">
        <v>5</v>
      </c>
      <c r="C108" s="1" t="s">
        <v>9</v>
      </c>
      <c r="D108" s="1" t="s">
        <v>156</v>
      </c>
      <c r="E108" s="1">
        <f t="shared" si="2"/>
        <v>340</v>
      </c>
      <c r="F108" s="1" t="s">
        <v>16</v>
      </c>
      <c r="Q108" s="1">
        <v>340</v>
      </c>
    </row>
    <row r="109" spans="1:17">
      <c r="A109" s="1" t="s">
        <v>155</v>
      </c>
      <c r="B109" s="1" t="s">
        <v>5</v>
      </c>
      <c r="C109" s="1" t="s">
        <v>6</v>
      </c>
      <c r="D109" s="1" t="s">
        <v>157</v>
      </c>
      <c r="E109" s="1">
        <f t="shared" si="2"/>
        <v>-1530</v>
      </c>
      <c r="F109" s="1" t="s">
        <v>8</v>
      </c>
      <c r="Q109" s="1">
        <v>1530</v>
      </c>
    </row>
    <row r="110" spans="1:17">
      <c r="A110" s="1" t="s">
        <v>158</v>
      </c>
      <c r="B110" s="1" t="s">
        <v>5</v>
      </c>
      <c r="C110" s="1" t="s">
        <v>6</v>
      </c>
      <c r="D110" s="1" t="s">
        <v>11</v>
      </c>
      <c r="E110" s="1">
        <f t="shared" si="2"/>
        <v>-66</v>
      </c>
      <c r="F110" s="1" t="s">
        <v>8</v>
      </c>
      <c r="Q110" s="1">
        <v>66</v>
      </c>
    </row>
    <row r="111" spans="1:17">
      <c r="A111" s="1" t="s">
        <v>159</v>
      </c>
      <c r="B111" s="1" t="s">
        <v>5</v>
      </c>
      <c r="C111" s="1" t="s">
        <v>9</v>
      </c>
      <c r="D111" s="1" t="s">
        <v>17</v>
      </c>
      <c r="E111" s="1">
        <f t="shared" si="2"/>
        <v>1000</v>
      </c>
      <c r="F111" s="1" t="s">
        <v>16</v>
      </c>
      <c r="Q111" s="1">
        <v>1000</v>
      </c>
    </row>
    <row r="112" spans="1:17">
      <c r="A112" s="1" t="s">
        <v>160</v>
      </c>
      <c r="B112" s="1" t="s">
        <v>5</v>
      </c>
      <c r="C112" s="1" t="s">
        <v>12</v>
      </c>
      <c r="D112" s="1" t="s">
        <v>100</v>
      </c>
      <c r="E112" s="1">
        <f t="shared" si="2"/>
        <v>-43</v>
      </c>
      <c r="F112" s="1" t="s">
        <v>8</v>
      </c>
      <c r="Q112" s="1">
        <v>43</v>
      </c>
    </row>
    <row r="113" spans="1:17">
      <c r="A113" s="2">
        <v>44896.947222222225</v>
      </c>
      <c r="B113" s="1" t="s">
        <v>5</v>
      </c>
      <c r="C113" s="1" t="s">
        <v>9</v>
      </c>
      <c r="D113" s="1" t="s">
        <v>161</v>
      </c>
      <c r="E113" s="1">
        <f t="shared" si="2"/>
        <v>-479</v>
      </c>
      <c r="F113" s="1" t="s">
        <v>8</v>
      </c>
      <c r="Q113" s="1">
        <v>479</v>
      </c>
    </row>
    <row r="114" spans="1:17">
      <c r="A114" s="2">
        <v>44896.559027777781</v>
      </c>
      <c r="B114" s="1" t="s">
        <v>5</v>
      </c>
      <c r="C114" s="1" t="s">
        <v>6</v>
      </c>
      <c r="D114" s="1" t="s">
        <v>19</v>
      </c>
      <c r="E114" s="1">
        <f t="shared" si="2"/>
        <v>-301.75</v>
      </c>
      <c r="F114" s="1" t="s">
        <v>8</v>
      </c>
      <c r="Q114" s="1">
        <v>301.75</v>
      </c>
    </row>
    <row r="115" spans="1:17">
      <c r="A115" s="2">
        <v>44896.559027777781</v>
      </c>
      <c r="B115" s="1" t="s">
        <v>5</v>
      </c>
      <c r="C115" s="1" t="s">
        <v>9</v>
      </c>
      <c r="D115" s="1" t="s">
        <v>21</v>
      </c>
      <c r="E115" s="1">
        <f t="shared" si="2"/>
        <v>200</v>
      </c>
      <c r="F115" s="1" t="s">
        <v>16</v>
      </c>
      <c r="Q115" s="1">
        <v>200</v>
      </c>
    </row>
    <row r="116" spans="1:17">
      <c r="A116" s="2">
        <v>44866.588194444441</v>
      </c>
      <c r="B116" s="1" t="s">
        <v>5</v>
      </c>
      <c r="C116" s="1" t="s">
        <v>6</v>
      </c>
      <c r="D116" s="1" t="s">
        <v>162</v>
      </c>
      <c r="E116" s="1">
        <f t="shared" si="2"/>
        <v>-135.5</v>
      </c>
      <c r="F116" s="1" t="s">
        <v>8</v>
      </c>
      <c r="Q116" s="1">
        <v>135.5</v>
      </c>
    </row>
    <row r="117" spans="1:17">
      <c r="A117" s="2">
        <v>44835.586111111108</v>
      </c>
      <c r="B117" s="1" t="s">
        <v>5</v>
      </c>
      <c r="C117" s="1" t="s">
        <v>6</v>
      </c>
      <c r="D117" s="1" t="s">
        <v>163</v>
      </c>
      <c r="E117" s="1">
        <f t="shared" si="2"/>
        <v>-106</v>
      </c>
      <c r="F117" s="1" t="s">
        <v>8</v>
      </c>
      <c r="Q117" s="1">
        <v>106</v>
      </c>
    </row>
    <row r="118" spans="1:17">
      <c r="A118" s="2">
        <v>44774.573611111111</v>
      </c>
      <c r="B118" s="1" t="s">
        <v>5</v>
      </c>
      <c r="C118" s="1" t="s">
        <v>9</v>
      </c>
      <c r="D118" s="1" t="s">
        <v>156</v>
      </c>
      <c r="E118" s="1">
        <f t="shared" si="2"/>
        <v>260</v>
      </c>
      <c r="F118" s="1" t="s">
        <v>16</v>
      </c>
      <c r="Q118" s="1">
        <v>260</v>
      </c>
    </row>
    <row r="119" spans="1:17">
      <c r="A119" s="2">
        <v>44774.572916666664</v>
      </c>
      <c r="B119" s="1" t="s">
        <v>5</v>
      </c>
      <c r="C119" s="1" t="s">
        <v>6</v>
      </c>
      <c r="D119" s="1" t="s">
        <v>164</v>
      </c>
      <c r="E119" s="1">
        <f t="shared" si="2"/>
        <v>-535.29999999999995</v>
      </c>
      <c r="F119" s="1" t="s">
        <v>8</v>
      </c>
      <c r="Q119" s="1">
        <v>535.29999999999995</v>
      </c>
    </row>
    <row r="120" spans="1:17">
      <c r="A120" s="2">
        <v>44774.568055555559</v>
      </c>
      <c r="B120" s="1" t="s">
        <v>5</v>
      </c>
      <c r="C120" s="1" t="s">
        <v>30</v>
      </c>
      <c r="D120" s="1" t="s">
        <v>165</v>
      </c>
      <c r="E120" s="1">
        <f t="shared" si="2"/>
        <v>-4580</v>
      </c>
      <c r="F120" s="1" t="s">
        <v>8</v>
      </c>
      <c r="Q120" s="1">
        <v>4580</v>
      </c>
    </row>
    <row r="121" spans="1:17">
      <c r="A121" s="2">
        <v>44743.57708333333</v>
      </c>
      <c r="B121" s="1" t="s">
        <v>5</v>
      </c>
      <c r="C121" s="1" t="s">
        <v>6</v>
      </c>
      <c r="D121" s="1" t="s">
        <v>166</v>
      </c>
      <c r="E121" s="1">
        <f t="shared" si="2"/>
        <v>-15</v>
      </c>
      <c r="F121" s="1" t="s">
        <v>8</v>
      </c>
      <c r="Q121" s="1">
        <v>15</v>
      </c>
    </row>
    <row r="122" spans="1:17">
      <c r="A122" s="2">
        <v>44713.895833333336</v>
      </c>
      <c r="B122" s="1" t="s">
        <v>5</v>
      </c>
      <c r="C122" s="1" t="s">
        <v>9</v>
      </c>
      <c r="D122" s="1" t="s">
        <v>167</v>
      </c>
      <c r="E122" s="1">
        <f t="shared" si="2"/>
        <v>440</v>
      </c>
      <c r="F122" s="1" t="s">
        <v>16</v>
      </c>
      <c r="Q122" s="1">
        <v>440</v>
      </c>
    </row>
    <row r="123" spans="1:17">
      <c r="A123" s="2">
        <v>44713.873611111114</v>
      </c>
      <c r="B123" s="1" t="s">
        <v>5</v>
      </c>
      <c r="C123" s="1" t="s">
        <v>6</v>
      </c>
      <c r="D123" s="1" t="s">
        <v>168</v>
      </c>
      <c r="E123" s="1">
        <f t="shared" si="2"/>
        <v>-20</v>
      </c>
      <c r="F123" s="1" t="s">
        <v>8</v>
      </c>
      <c r="Q123" s="1">
        <v>20</v>
      </c>
    </row>
    <row r="124" spans="1:17">
      <c r="A124" s="2">
        <v>44713.842361111114</v>
      </c>
      <c r="B124" s="1" t="s">
        <v>5</v>
      </c>
      <c r="C124" s="1" t="s">
        <v>6</v>
      </c>
      <c r="D124" s="1" t="s">
        <v>169</v>
      </c>
      <c r="E124" s="1">
        <f t="shared" si="2"/>
        <v>-877.81</v>
      </c>
      <c r="F124" s="1" t="s">
        <v>8</v>
      </c>
      <c r="Q124" s="1">
        <v>877.81</v>
      </c>
    </row>
    <row r="125" spans="1:17">
      <c r="A125" s="2">
        <v>44713.598611111112</v>
      </c>
      <c r="B125" s="1" t="s">
        <v>5</v>
      </c>
      <c r="C125" s="1" t="s">
        <v>6</v>
      </c>
      <c r="D125" s="1" t="s">
        <v>170</v>
      </c>
      <c r="E125" s="1">
        <f t="shared" si="2"/>
        <v>-10</v>
      </c>
      <c r="F125" s="1" t="s">
        <v>8</v>
      </c>
      <c r="Q125" s="1">
        <v>10</v>
      </c>
    </row>
    <row r="126" spans="1:17">
      <c r="A126" s="2">
        <v>44713.491666666669</v>
      </c>
      <c r="B126" s="1" t="s">
        <v>5</v>
      </c>
      <c r="C126" s="1" t="s">
        <v>12</v>
      </c>
      <c r="D126" s="1" t="s">
        <v>100</v>
      </c>
      <c r="E126" s="1">
        <f t="shared" si="2"/>
        <v>-42</v>
      </c>
      <c r="F126" s="1" t="s">
        <v>8</v>
      </c>
      <c r="Q126" s="1">
        <v>42</v>
      </c>
    </row>
    <row r="127" spans="1:17">
      <c r="A127" s="2">
        <v>44682.849305555559</v>
      </c>
      <c r="B127" s="1" t="s">
        <v>5</v>
      </c>
      <c r="C127" s="1" t="s">
        <v>6</v>
      </c>
      <c r="D127" s="1" t="s">
        <v>171</v>
      </c>
      <c r="E127" s="1">
        <f t="shared" si="2"/>
        <v>-211</v>
      </c>
      <c r="F127" s="1" t="s">
        <v>8</v>
      </c>
      <c r="Q127" s="1">
        <v>211</v>
      </c>
    </row>
    <row r="128" spans="1:17">
      <c r="A128" s="2">
        <v>44682.615277777775</v>
      </c>
      <c r="B128" s="1" t="s">
        <v>5</v>
      </c>
      <c r="C128" s="1" t="s">
        <v>9</v>
      </c>
      <c r="D128" s="1" t="s">
        <v>172</v>
      </c>
      <c r="E128" s="1">
        <f t="shared" si="2"/>
        <v>-40</v>
      </c>
      <c r="F128" s="1" t="s">
        <v>8</v>
      </c>
      <c r="Q128" s="1">
        <v>40</v>
      </c>
    </row>
    <row r="129" spans="1:17">
      <c r="A129" s="2">
        <v>44682.612500000003</v>
      </c>
      <c r="B129" s="1" t="s">
        <v>5</v>
      </c>
      <c r="C129" s="1" t="s">
        <v>9</v>
      </c>
      <c r="D129" s="1" t="s">
        <v>173</v>
      </c>
      <c r="E129" s="1">
        <f t="shared" si="2"/>
        <v>-30</v>
      </c>
      <c r="F129" s="1" t="s">
        <v>8</v>
      </c>
      <c r="Q129" s="1">
        <v>30</v>
      </c>
    </row>
    <row r="130" spans="1:17">
      <c r="A130" s="2">
        <v>44682.612500000003</v>
      </c>
      <c r="B130" s="1" t="s">
        <v>5</v>
      </c>
      <c r="C130" s="1" t="s">
        <v>6</v>
      </c>
      <c r="D130" s="1" t="s">
        <v>174</v>
      </c>
      <c r="E130" s="1">
        <f t="shared" si="2"/>
        <v>-354</v>
      </c>
      <c r="F130" s="1" t="s">
        <v>8</v>
      </c>
      <c r="Q130" s="1">
        <v>354</v>
      </c>
    </row>
    <row r="131" spans="1:17">
      <c r="A131" s="2">
        <v>44682.61041666667</v>
      </c>
      <c r="B131" s="1" t="s">
        <v>5</v>
      </c>
      <c r="C131" s="1" t="s">
        <v>9</v>
      </c>
      <c r="D131" s="1" t="s">
        <v>175</v>
      </c>
      <c r="E131" s="1">
        <f t="shared" ref="E131:E194" si="3">IF(F131="Expense", -Q131, Q131)</f>
        <v>-500</v>
      </c>
      <c r="F131" s="1" t="s">
        <v>8</v>
      </c>
      <c r="Q131" s="1">
        <v>500</v>
      </c>
    </row>
    <row r="132" spans="1:17">
      <c r="A132" s="2">
        <v>44682.609027777777</v>
      </c>
      <c r="B132" s="1" t="s">
        <v>5</v>
      </c>
      <c r="C132" s="1" t="s">
        <v>9</v>
      </c>
      <c r="D132" s="1" t="s">
        <v>176</v>
      </c>
      <c r="E132" s="1">
        <f t="shared" si="3"/>
        <v>-500</v>
      </c>
      <c r="F132" s="1" t="s">
        <v>8</v>
      </c>
      <c r="Q132" s="1">
        <v>500</v>
      </c>
    </row>
    <row r="133" spans="1:17">
      <c r="A133" s="2">
        <v>44682.607638888891</v>
      </c>
      <c r="B133" s="1" t="s">
        <v>5</v>
      </c>
      <c r="C133" s="1" t="s">
        <v>12</v>
      </c>
      <c r="D133" s="1" t="s">
        <v>177</v>
      </c>
      <c r="E133" s="1">
        <f t="shared" si="3"/>
        <v>-60</v>
      </c>
      <c r="F133" s="1" t="s">
        <v>8</v>
      </c>
      <c r="Q133" s="1">
        <v>60</v>
      </c>
    </row>
    <row r="134" spans="1:17">
      <c r="A134" s="2">
        <v>44682.604166666664</v>
      </c>
      <c r="B134" s="1" t="s">
        <v>5</v>
      </c>
      <c r="C134" s="1" t="s">
        <v>6</v>
      </c>
      <c r="D134" s="1" t="s">
        <v>106</v>
      </c>
      <c r="E134" s="1">
        <f t="shared" si="3"/>
        <v>-388</v>
      </c>
      <c r="F134" s="1" t="s">
        <v>8</v>
      </c>
      <c r="Q134" s="1">
        <v>388</v>
      </c>
    </row>
    <row r="135" spans="1:17">
      <c r="A135" s="2">
        <v>44652.924305555556</v>
      </c>
      <c r="B135" s="1" t="s">
        <v>5</v>
      </c>
      <c r="C135" s="1" t="s">
        <v>178</v>
      </c>
      <c r="D135" s="1" t="s">
        <v>179</v>
      </c>
      <c r="E135" s="1">
        <f t="shared" si="3"/>
        <v>-1400</v>
      </c>
      <c r="F135" s="1" t="s">
        <v>8</v>
      </c>
      <c r="Q135" s="1">
        <v>1400</v>
      </c>
    </row>
    <row r="136" spans="1:17">
      <c r="A136" s="2">
        <v>44652.923611111109</v>
      </c>
      <c r="B136" s="1" t="s">
        <v>5</v>
      </c>
      <c r="C136" s="1" t="s">
        <v>180</v>
      </c>
      <c r="D136" s="1" t="s">
        <v>180</v>
      </c>
      <c r="E136" s="1">
        <f t="shared" si="3"/>
        <v>8000</v>
      </c>
      <c r="F136" s="1" t="s">
        <v>16</v>
      </c>
      <c r="Q136" s="1">
        <v>8000</v>
      </c>
    </row>
    <row r="137" spans="1:17">
      <c r="A137" s="2">
        <v>44652.578472222223</v>
      </c>
      <c r="B137" s="1" t="s">
        <v>5</v>
      </c>
      <c r="C137" s="1" t="s">
        <v>6</v>
      </c>
      <c r="D137" s="1" t="s">
        <v>106</v>
      </c>
      <c r="E137" s="1">
        <f t="shared" si="3"/>
        <v>-106</v>
      </c>
      <c r="F137" s="1" t="s">
        <v>8</v>
      </c>
      <c r="Q137" s="1">
        <v>106</v>
      </c>
    </row>
    <row r="138" spans="1:17">
      <c r="A138" s="2">
        <v>44652.334027777775</v>
      </c>
      <c r="B138" s="1" t="s">
        <v>5</v>
      </c>
      <c r="C138" s="1" t="s">
        <v>9</v>
      </c>
      <c r="D138" s="1" t="s">
        <v>91</v>
      </c>
      <c r="E138" s="1">
        <f t="shared" si="3"/>
        <v>-80</v>
      </c>
      <c r="F138" s="1" t="s">
        <v>8</v>
      </c>
      <c r="Q138" s="1">
        <v>80</v>
      </c>
    </row>
    <row r="139" spans="1:17">
      <c r="A139" s="2">
        <v>44652.331944444442</v>
      </c>
      <c r="B139" s="1" t="s">
        <v>5</v>
      </c>
      <c r="C139" s="1" t="s">
        <v>6</v>
      </c>
      <c r="D139" s="1" t="s">
        <v>181</v>
      </c>
      <c r="E139" s="1">
        <f t="shared" si="3"/>
        <v>-107</v>
      </c>
      <c r="F139" s="1" t="s">
        <v>8</v>
      </c>
      <c r="Q139" s="1">
        <v>107</v>
      </c>
    </row>
    <row r="140" spans="1:17">
      <c r="A140" s="2">
        <v>44621.927083333336</v>
      </c>
      <c r="B140" s="1" t="s">
        <v>5</v>
      </c>
      <c r="C140" s="1" t="s">
        <v>6</v>
      </c>
      <c r="D140" s="1" t="s">
        <v>182</v>
      </c>
      <c r="E140" s="1">
        <f t="shared" si="3"/>
        <v>-10</v>
      </c>
      <c r="F140" s="1" t="s">
        <v>8</v>
      </c>
      <c r="Q140" s="1">
        <v>10</v>
      </c>
    </row>
    <row r="141" spans="1:17">
      <c r="A141" s="2">
        <v>44621.912499999999</v>
      </c>
      <c r="B141" s="1" t="s">
        <v>5</v>
      </c>
      <c r="C141" s="1" t="s">
        <v>9</v>
      </c>
      <c r="D141" s="1" t="s">
        <v>183</v>
      </c>
      <c r="E141" s="1">
        <f t="shared" si="3"/>
        <v>201</v>
      </c>
      <c r="F141" s="1" t="s">
        <v>16</v>
      </c>
      <c r="Q141" s="1">
        <v>201</v>
      </c>
    </row>
    <row r="142" spans="1:17">
      <c r="A142" s="2">
        <v>44621.883333333331</v>
      </c>
      <c r="B142" s="1" t="s">
        <v>5</v>
      </c>
      <c r="C142" s="1" t="s">
        <v>9</v>
      </c>
      <c r="D142" s="1" t="s">
        <v>184</v>
      </c>
      <c r="E142" s="1">
        <f t="shared" si="3"/>
        <v>5</v>
      </c>
      <c r="F142" s="1" t="s">
        <v>16</v>
      </c>
      <c r="Q142" s="1">
        <v>5</v>
      </c>
    </row>
    <row r="143" spans="1:17">
      <c r="A143" s="2">
        <v>44621.882638888892</v>
      </c>
      <c r="B143" s="1" t="s">
        <v>5</v>
      </c>
      <c r="C143" s="1" t="s">
        <v>9</v>
      </c>
      <c r="D143" s="1" t="s">
        <v>185</v>
      </c>
      <c r="E143" s="1">
        <f t="shared" si="3"/>
        <v>140</v>
      </c>
      <c r="F143" s="1" t="s">
        <v>16</v>
      </c>
      <c r="Q143" s="1">
        <v>140</v>
      </c>
    </row>
    <row r="144" spans="1:17">
      <c r="A144" s="2">
        <v>44621.604861111111</v>
      </c>
      <c r="B144" s="1" t="s">
        <v>5</v>
      </c>
      <c r="C144" s="1" t="s">
        <v>6</v>
      </c>
      <c r="D144" s="1" t="s">
        <v>186</v>
      </c>
      <c r="E144" s="1">
        <f t="shared" si="3"/>
        <v>-300</v>
      </c>
      <c r="F144" s="1" t="s">
        <v>8</v>
      </c>
      <c r="Q144" s="1">
        <v>300</v>
      </c>
    </row>
    <row r="145" spans="1:17">
      <c r="A145" s="2">
        <v>44621.604166666664</v>
      </c>
      <c r="B145" s="1" t="s">
        <v>5</v>
      </c>
      <c r="C145" s="1" t="s">
        <v>9</v>
      </c>
      <c r="D145" s="1" t="s">
        <v>187</v>
      </c>
      <c r="E145" s="1">
        <f t="shared" si="3"/>
        <v>300</v>
      </c>
      <c r="F145" s="1" t="s">
        <v>16</v>
      </c>
      <c r="Q145" s="1">
        <v>300</v>
      </c>
    </row>
    <row r="146" spans="1:17">
      <c r="A146" s="2">
        <v>44593.856249999997</v>
      </c>
      <c r="B146" s="1" t="s">
        <v>5</v>
      </c>
      <c r="C146" s="1" t="s">
        <v>9</v>
      </c>
      <c r="D146" s="1" t="s">
        <v>188</v>
      </c>
      <c r="E146" s="1">
        <f t="shared" si="3"/>
        <v>-8</v>
      </c>
      <c r="F146" s="1" t="s">
        <v>8</v>
      </c>
      <c r="Q146" s="1">
        <v>8</v>
      </c>
    </row>
    <row r="147" spans="1:17">
      <c r="A147" s="2">
        <v>44593.855555555558</v>
      </c>
      <c r="B147" s="1" t="s">
        <v>5</v>
      </c>
      <c r="C147" s="1" t="s">
        <v>6</v>
      </c>
      <c r="D147" s="1" t="s">
        <v>189</v>
      </c>
      <c r="E147" s="1">
        <f t="shared" si="3"/>
        <v>-200</v>
      </c>
      <c r="F147" s="1" t="s">
        <v>8</v>
      </c>
      <c r="Q147" s="1">
        <v>200</v>
      </c>
    </row>
    <row r="148" spans="1:17">
      <c r="A148" s="2">
        <v>44593.594444444447</v>
      </c>
      <c r="B148" s="1" t="s">
        <v>5</v>
      </c>
      <c r="C148" s="1" t="s">
        <v>12</v>
      </c>
      <c r="D148" s="1" t="s">
        <v>122</v>
      </c>
      <c r="E148" s="1">
        <f t="shared" si="3"/>
        <v>-725</v>
      </c>
      <c r="F148" s="1" t="s">
        <v>8</v>
      </c>
      <c r="Q148" s="1">
        <v>725</v>
      </c>
    </row>
    <row r="149" spans="1:17">
      <c r="A149" s="2">
        <v>44562.906944444447</v>
      </c>
      <c r="B149" s="1" t="s">
        <v>5</v>
      </c>
      <c r="C149" s="1" t="s">
        <v>6</v>
      </c>
      <c r="D149" s="1" t="s">
        <v>14</v>
      </c>
      <c r="E149" s="1">
        <f t="shared" si="3"/>
        <v>-85</v>
      </c>
      <c r="F149" s="1" t="s">
        <v>8</v>
      </c>
      <c r="Q149" s="1">
        <v>85</v>
      </c>
    </row>
    <row r="150" spans="1:17">
      <c r="A150" s="2">
        <v>44562.90625</v>
      </c>
      <c r="B150" s="1" t="s">
        <v>5</v>
      </c>
      <c r="C150" s="1" t="s">
        <v>190</v>
      </c>
      <c r="D150" s="1" t="s">
        <v>17</v>
      </c>
      <c r="E150" s="1">
        <f t="shared" si="3"/>
        <v>1000</v>
      </c>
      <c r="F150" s="1" t="s">
        <v>16</v>
      </c>
      <c r="Q150" s="1">
        <v>1000</v>
      </c>
    </row>
    <row r="151" spans="1:17">
      <c r="A151" s="1" t="s">
        <v>191</v>
      </c>
      <c r="B151" s="1" t="s">
        <v>5</v>
      </c>
      <c r="C151" s="1" t="s">
        <v>6</v>
      </c>
      <c r="D151" s="1" t="s">
        <v>192</v>
      </c>
      <c r="E151" s="1">
        <f t="shared" si="3"/>
        <v>-20</v>
      </c>
      <c r="F151" s="1" t="s">
        <v>8</v>
      </c>
      <c r="Q151" s="1">
        <v>20</v>
      </c>
    </row>
    <row r="152" spans="1:17">
      <c r="A152" s="1" t="s">
        <v>193</v>
      </c>
      <c r="B152" s="1" t="s">
        <v>5</v>
      </c>
      <c r="C152" s="1" t="s">
        <v>12</v>
      </c>
      <c r="D152" s="1" t="s">
        <v>194</v>
      </c>
      <c r="E152" s="1">
        <f t="shared" si="3"/>
        <v>-43</v>
      </c>
      <c r="F152" s="1" t="s">
        <v>8</v>
      </c>
      <c r="Q152" s="1">
        <v>43</v>
      </c>
    </row>
    <row r="153" spans="1:17">
      <c r="A153" s="1" t="s">
        <v>195</v>
      </c>
      <c r="B153" s="1" t="s">
        <v>5</v>
      </c>
      <c r="C153" s="1" t="s">
        <v>9</v>
      </c>
      <c r="D153" s="1" t="s">
        <v>21</v>
      </c>
      <c r="E153" s="1">
        <f t="shared" si="3"/>
        <v>30</v>
      </c>
      <c r="F153" s="1" t="s">
        <v>16</v>
      </c>
      <c r="Q153" s="1">
        <v>30</v>
      </c>
    </row>
    <row r="154" spans="1:17">
      <c r="A154" s="1" t="s">
        <v>196</v>
      </c>
      <c r="B154" s="1" t="s">
        <v>5</v>
      </c>
      <c r="C154" s="1" t="s">
        <v>6</v>
      </c>
      <c r="D154" s="1" t="s">
        <v>197</v>
      </c>
      <c r="E154" s="1">
        <f t="shared" si="3"/>
        <v>-25</v>
      </c>
      <c r="F154" s="1" t="s">
        <v>8</v>
      </c>
      <c r="Q154" s="1">
        <v>25</v>
      </c>
    </row>
    <row r="155" spans="1:17">
      <c r="A155" s="1" t="s">
        <v>198</v>
      </c>
      <c r="B155" s="1" t="s">
        <v>5</v>
      </c>
      <c r="C155" s="1" t="s">
        <v>12</v>
      </c>
      <c r="D155" s="1" t="s">
        <v>199</v>
      </c>
      <c r="E155" s="1">
        <f t="shared" si="3"/>
        <v>-199</v>
      </c>
      <c r="F155" s="1" t="s">
        <v>8</v>
      </c>
      <c r="Q155" s="1">
        <v>199</v>
      </c>
    </row>
    <row r="156" spans="1:17">
      <c r="A156" s="1" t="s">
        <v>200</v>
      </c>
      <c r="B156" s="1" t="s">
        <v>5</v>
      </c>
      <c r="C156" s="1" t="s">
        <v>9</v>
      </c>
      <c r="D156" s="1" t="s">
        <v>201</v>
      </c>
      <c r="E156" s="1">
        <f t="shared" si="3"/>
        <v>250</v>
      </c>
      <c r="F156" s="1" t="s">
        <v>16</v>
      </c>
      <c r="Q156" s="1">
        <v>250</v>
      </c>
    </row>
    <row r="157" spans="1:17">
      <c r="A157" s="1" t="s">
        <v>202</v>
      </c>
      <c r="B157" s="1" t="s">
        <v>5</v>
      </c>
      <c r="C157" s="1" t="s">
        <v>6</v>
      </c>
      <c r="D157" s="1" t="s">
        <v>203</v>
      </c>
      <c r="E157" s="1">
        <f t="shared" si="3"/>
        <v>-20</v>
      </c>
      <c r="F157" s="1" t="s">
        <v>8</v>
      </c>
      <c r="Q157" s="1">
        <v>20</v>
      </c>
    </row>
    <row r="158" spans="1:17">
      <c r="A158" s="1" t="s">
        <v>202</v>
      </c>
      <c r="B158" s="1" t="s">
        <v>5</v>
      </c>
      <c r="C158" s="1" t="s">
        <v>9</v>
      </c>
      <c r="D158" s="1" t="s">
        <v>187</v>
      </c>
      <c r="E158" s="1">
        <f t="shared" si="3"/>
        <v>20</v>
      </c>
      <c r="F158" s="1" t="s">
        <v>16</v>
      </c>
      <c r="Q158" s="1">
        <v>20</v>
      </c>
    </row>
    <row r="159" spans="1:17">
      <c r="A159" s="1" t="s">
        <v>202</v>
      </c>
      <c r="B159" s="1" t="s">
        <v>5</v>
      </c>
      <c r="C159" s="1" t="s">
        <v>12</v>
      </c>
      <c r="D159" s="1" t="s">
        <v>204</v>
      </c>
      <c r="E159" s="1">
        <f t="shared" si="3"/>
        <v>-286</v>
      </c>
      <c r="F159" s="1" t="s">
        <v>8</v>
      </c>
      <c r="Q159" s="1">
        <v>286</v>
      </c>
    </row>
    <row r="160" spans="1:17">
      <c r="A160" s="1" t="s">
        <v>205</v>
      </c>
      <c r="B160" s="1" t="s">
        <v>5</v>
      </c>
      <c r="C160" s="1" t="s">
        <v>9</v>
      </c>
      <c r="D160" s="1" t="s">
        <v>201</v>
      </c>
      <c r="E160" s="1">
        <f t="shared" si="3"/>
        <v>250</v>
      </c>
      <c r="F160" s="1" t="s">
        <v>16</v>
      </c>
      <c r="Q160" s="1">
        <v>250</v>
      </c>
    </row>
    <row r="161" spans="1:17">
      <c r="A161" s="1" t="s">
        <v>206</v>
      </c>
      <c r="B161" s="1" t="s">
        <v>5</v>
      </c>
      <c r="C161" s="1" t="s">
        <v>6</v>
      </c>
      <c r="D161" s="1" t="s">
        <v>207</v>
      </c>
      <c r="E161" s="1">
        <f t="shared" si="3"/>
        <v>-14</v>
      </c>
      <c r="F161" s="1" t="s">
        <v>8</v>
      </c>
      <c r="Q161" s="1">
        <v>14</v>
      </c>
    </row>
    <row r="162" spans="1:17">
      <c r="A162" s="1" t="s">
        <v>208</v>
      </c>
      <c r="B162" s="1" t="s">
        <v>5</v>
      </c>
      <c r="C162" s="1" t="s">
        <v>6</v>
      </c>
      <c r="D162" s="1" t="s">
        <v>209</v>
      </c>
      <c r="E162" s="1">
        <f t="shared" si="3"/>
        <v>-115</v>
      </c>
      <c r="F162" s="1" t="s">
        <v>8</v>
      </c>
      <c r="Q162" s="1">
        <v>115</v>
      </c>
    </row>
    <row r="163" spans="1:17">
      <c r="A163" s="1" t="s">
        <v>210</v>
      </c>
      <c r="B163" s="1" t="s">
        <v>5</v>
      </c>
      <c r="C163" s="1" t="s">
        <v>9</v>
      </c>
      <c r="D163" s="1" t="s">
        <v>15</v>
      </c>
      <c r="E163" s="1">
        <f t="shared" si="3"/>
        <v>80</v>
      </c>
      <c r="F163" s="1" t="s">
        <v>16</v>
      </c>
      <c r="Q163" s="1">
        <v>80</v>
      </c>
    </row>
    <row r="164" spans="1:17">
      <c r="A164" s="1" t="s">
        <v>211</v>
      </c>
      <c r="B164" s="1" t="s">
        <v>5</v>
      </c>
      <c r="C164" s="1" t="s">
        <v>9</v>
      </c>
      <c r="D164" s="1" t="s">
        <v>212</v>
      </c>
      <c r="E164" s="1">
        <f t="shared" si="3"/>
        <v>40</v>
      </c>
      <c r="F164" s="1" t="s">
        <v>16</v>
      </c>
      <c r="Q164" s="1">
        <v>40</v>
      </c>
    </row>
    <row r="165" spans="1:17">
      <c r="A165" s="1" t="s">
        <v>211</v>
      </c>
      <c r="B165" s="1" t="s">
        <v>5</v>
      </c>
      <c r="C165" s="1" t="s">
        <v>6</v>
      </c>
      <c r="D165" s="1" t="s">
        <v>213</v>
      </c>
      <c r="E165" s="1">
        <f t="shared" si="3"/>
        <v>-50</v>
      </c>
      <c r="F165" s="1" t="s">
        <v>8</v>
      </c>
      <c r="Q165" s="1">
        <v>50</v>
      </c>
    </row>
    <row r="166" spans="1:17">
      <c r="A166" s="1" t="s">
        <v>214</v>
      </c>
      <c r="B166" s="1" t="s">
        <v>5</v>
      </c>
      <c r="C166" s="1" t="s">
        <v>6</v>
      </c>
      <c r="D166" s="1" t="s">
        <v>189</v>
      </c>
      <c r="E166" s="1">
        <f t="shared" si="3"/>
        <v>-504</v>
      </c>
      <c r="F166" s="1" t="s">
        <v>8</v>
      </c>
      <c r="Q166" s="1">
        <v>504</v>
      </c>
    </row>
    <row r="167" spans="1:17">
      <c r="A167" s="1" t="s">
        <v>215</v>
      </c>
      <c r="B167" s="1" t="s">
        <v>5</v>
      </c>
      <c r="C167" s="1" t="s">
        <v>12</v>
      </c>
      <c r="D167" s="1" t="s">
        <v>216</v>
      </c>
      <c r="E167" s="1">
        <f t="shared" si="3"/>
        <v>-306</v>
      </c>
      <c r="F167" s="1" t="s">
        <v>8</v>
      </c>
      <c r="Q167" s="1">
        <v>306</v>
      </c>
    </row>
    <row r="168" spans="1:17">
      <c r="A168" s="1" t="s">
        <v>217</v>
      </c>
      <c r="B168" s="1" t="s">
        <v>5</v>
      </c>
      <c r="C168" s="1" t="s">
        <v>218</v>
      </c>
      <c r="D168" s="1" t="s">
        <v>219</v>
      </c>
      <c r="E168" s="1">
        <f t="shared" si="3"/>
        <v>-400</v>
      </c>
      <c r="F168" s="1" t="s">
        <v>8</v>
      </c>
      <c r="Q168" s="1">
        <v>400</v>
      </c>
    </row>
    <row r="169" spans="1:17">
      <c r="A169" s="1" t="s">
        <v>220</v>
      </c>
      <c r="B169" s="1" t="s">
        <v>5</v>
      </c>
      <c r="C169" s="1" t="s">
        <v>6</v>
      </c>
      <c r="D169" s="1" t="s">
        <v>221</v>
      </c>
      <c r="E169" s="1">
        <f t="shared" si="3"/>
        <v>-30</v>
      </c>
      <c r="F169" s="1" t="s">
        <v>8</v>
      </c>
      <c r="Q169" s="1">
        <v>30</v>
      </c>
    </row>
    <row r="170" spans="1:17">
      <c r="A170" s="1" t="s">
        <v>222</v>
      </c>
      <c r="B170" s="1" t="s">
        <v>5</v>
      </c>
      <c r="C170" s="1" t="s">
        <v>6</v>
      </c>
      <c r="D170" s="1" t="s">
        <v>203</v>
      </c>
      <c r="E170" s="1">
        <f t="shared" si="3"/>
        <v>-30</v>
      </c>
      <c r="F170" s="1" t="s">
        <v>8</v>
      </c>
      <c r="Q170" s="1">
        <v>30</v>
      </c>
    </row>
    <row r="171" spans="1:17">
      <c r="A171" s="1" t="s">
        <v>223</v>
      </c>
      <c r="B171" s="1" t="s">
        <v>5</v>
      </c>
      <c r="C171" s="1" t="s">
        <v>6</v>
      </c>
      <c r="D171" s="1" t="s">
        <v>224</v>
      </c>
      <c r="E171" s="1">
        <f t="shared" si="3"/>
        <v>-40</v>
      </c>
      <c r="F171" s="1" t="s">
        <v>8</v>
      </c>
      <c r="Q171" s="1">
        <v>40</v>
      </c>
    </row>
    <row r="172" spans="1:17">
      <c r="A172" s="1" t="s">
        <v>225</v>
      </c>
      <c r="B172" s="1" t="s">
        <v>5</v>
      </c>
      <c r="C172" s="1" t="s">
        <v>26</v>
      </c>
      <c r="D172" s="1" t="s">
        <v>226</v>
      </c>
      <c r="E172" s="1">
        <f t="shared" si="3"/>
        <v>-150</v>
      </c>
      <c r="F172" s="1" t="s">
        <v>8</v>
      </c>
      <c r="Q172" s="1">
        <v>150</v>
      </c>
    </row>
    <row r="173" spans="1:17">
      <c r="A173" s="1" t="s">
        <v>227</v>
      </c>
      <c r="B173" s="1" t="s">
        <v>5</v>
      </c>
      <c r="C173" s="1" t="s">
        <v>6</v>
      </c>
      <c r="D173" s="1" t="s">
        <v>106</v>
      </c>
      <c r="E173" s="1">
        <f t="shared" si="3"/>
        <v>-262</v>
      </c>
      <c r="F173" s="1" t="s">
        <v>8</v>
      </c>
      <c r="Q173" s="1">
        <v>262</v>
      </c>
    </row>
    <row r="174" spans="1:17">
      <c r="A174" s="1" t="s">
        <v>228</v>
      </c>
      <c r="B174" s="1" t="s">
        <v>5</v>
      </c>
      <c r="C174" s="1" t="s">
        <v>6</v>
      </c>
      <c r="D174" s="1" t="s">
        <v>229</v>
      </c>
      <c r="E174" s="1">
        <f t="shared" si="3"/>
        <v>-15</v>
      </c>
      <c r="F174" s="1" t="s">
        <v>8</v>
      </c>
      <c r="Q174" s="1">
        <v>15</v>
      </c>
    </row>
    <row r="175" spans="1:17">
      <c r="A175" s="1" t="s">
        <v>230</v>
      </c>
      <c r="B175" s="1" t="s">
        <v>5</v>
      </c>
      <c r="C175" s="1" t="s">
        <v>6</v>
      </c>
      <c r="D175" s="1" t="s">
        <v>231</v>
      </c>
      <c r="E175" s="1">
        <f t="shared" si="3"/>
        <v>-32</v>
      </c>
      <c r="F175" s="1" t="s">
        <v>8</v>
      </c>
      <c r="Q175" s="1">
        <v>32</v>
      </c>
    </row>
    <row r="176" spans="1:17">
      <c r="A176" s="1" t="s">
        <v>232</v>
      </c>
      <c r="B176" s="1" t="s">
        <v>5</v>
      </c>
      <c r="C176" s="1" t="s">
        <v>6</v>
      </c>
      <c r="D176" s="1" t="s">
        <v>189</v>
      </c>
      <c r="E176" s="1">
        <f t="shared" si="3"/>
        <v>-239</v>
      </c>
      <c r="F176" s="1" t="s">
        <v>8</v>
      </c>
      <c r="Q176" s="1">
        <v>239</v>
      </c>
    </row>
    <row r="177" spans="1:17">
      <c r="A177" s="1" t="s">
        <v>233</v>
      </c>
      <c r="B177" s="1" t="s">
        <v>5</v>
      </c>
      <c r="C177" s="1" t="s">
        <v>6</v>
      </c>
      <c r="D177" s="1" t="s">
        <v>234</v>
      </c>
      <c r="E177" s="1">
        <f t="shared" si="3"/>
        <v>-25</v>
      </c>
      <c r="F177" s="1" t="s">
        <v>8</v>
      </c>
      <c r="Q177" s="1">
        <v>25</v>
      </c>
    </row>
    <row r="178" spans="1:17">
      <c r="A178" s="1" t="s">
        <v>235</v>
      </c>
      <c r="B178" s="1" t="s">
        <v>5</v>
      </c>
      <c r="C178" s="1" t="s">
        <v>6</v>
      </c>
      <c r="D178" s="1" t="s">
        <v>236</v>
      </c>
      <c r="E178" s="1">
        <f t="shared" si="3"/>
        <v>-18</v>
      </c>
      <c r="F178" s="1" t="s">
        <v>8</v>
      </c>
      <c r="Q178" s="1">
        <v>18</v>
      </c>
    </row>
    <row r="179" spans="1:17">
      <c r="A179" s="1" t="s">
        <v>237</v>
      </c>
      <c r="B179" s="1" t="s">
        <v>5</v>
      </c>
      <c r="C179" s="1" t="s">
        <v>6</v>
      </c>
      <c r="D179" s="1" t="s">
        <v>224</v>
      </c>
      <c r="E179" s="1">
        <f t="shared" si="3"/>
        <v>-80</v>
      </c>
      <c r="F179" s="1" t="s">
        <v>8</v>
      </c>
      <c r="Q179" s="1">
        <v>80</v>
      </c>
    </row>
    <row r="180" spans="1:17">
      <c r="A180" s="1" t="s">
        <v>238</v>
      </c>
      <c r="B180" s="1" t="s">
        <v>5</v>
      </c>
      <c r="C180" s="1" t="s">
        <v>12</v>
      </c>
      <c r="D180" s="1" t="s">
        <v>239</v>
      </c>
      <c r="E180" s="1">
        <f t="shared" si="3"/>
        <v>-80</v>
      </c>
      <c r="F180" s="1" t="s">
        <v>8</v>
      </c>
      <c r="Q180" s="1">
        <v>80</v>
      </c>
    </row>
    <row r="181" spans="1:17">
      <c r="A181" s="1" t="s">
        <v>240</v>
      </c>
      <c r="B181" s="1" t="s">
        <v>5</v>
      </c>
      <c r="C181" s="1" t="s">
        <v>6</v>
      </c>
      <c r="D181" s="1" t="s">
        <v>14</v>
      </c>
      <c r="E181" s="1">
        <f t="shared" si="3"/>
        <v>-20</v>
      </c>
      <c r="F181" s="1" t="s">
        <v>8</v>
      </c>
      <c r="Q181" s="1">
        <v>20</v>
      </c>
    </row>
    <row r="182" spans="1:17">
      <c r="A182" s="1" t="s">
        <v>241</v>
      </c>
      <c r="B182" s="1" t="s">
        <v>5</v>
      </c>
      <c r="C182" s="1" t="s">
        <v>6</v>
      </c>
      <c r="D182" s="1" t="s">
        <v>203</v>
      </c>
      <c r="E182" s="1">
        <f t="shared" si="3"/>
        <v>-20</v>
      </c>
      <c r="F182" s="1" t="s">
        <v>8</v>
      </c>
      <c r="Q182" s="1">
        <v>20</v>
      </c>
    </row>
    <row r="183" spans="1:17">
      <c r="A183" s="1" t="s">
        <v>242</v>
      </c>
      <c r="B183" s="1" t="s">
        <v>5</v>
      </c>
      <c r="C183" s="1" t="s">
        <v>6</v>
      </c>
      <c r="D183" s="1" t="s">
        <v>209</v>
      </c>
      <c r="E183" s="1">
        <f t="shared" si="3"/>
        <v>-85</v>
      </c>
      <c r="F183" s="1" t="s">
        <v>8</v>
      </c>
      <c r="Q183" s="1">
        <v>85</v>
      </c>
    </row>
    <row r="184" spans="1:17">
      <c r="A184" s="1" t="s">
        <v>243</v>
      </c>
      <c r="B184" s="1" t="s">
        <v>5</v>
      </c>
      <c r="C184" s="1" t="s">
        <v>6</v>
      </c>
      <c r="D184" s="1" t="s">
        <v>224</v>
      </c>
      <c r="E184" s="1">
        <f t="shared" si="3"/>
        <v>-40</v>
      </c>
      <c r="F184" s="1" t="s">
        <v>8</v>
      </c>
      <c r="Q184" s="1">
        <v>40</v>
      </c>
    </row>
    <row r="185" spans="1:17">
      <c r="A185" s="1" t="s">
        <v>244</v>
      </c>
      <c r="B185" s="1" t="s">
        <v>5</v>
      </c>
      <c r="C185" s="1" t="s">
        <v>9</v>
      </c>
      <c r="D185" s="1" t="s">
        <v>245</v>
      </c>
      <c r="E185" s="1">
        <f t="shared" si="3"/>
        <v>-100</v>
      </c>
      <c r="F185" s="1" t="s">
        <v>8</v>
      </c>
      <c r="Q185" s="1">
        <v>100</v>
      </c>
    </row>
    <row r="186" spans="1:17">
      <c r="A186" s="1" t="s">
        <v>246</v>
      </c>
      <c r="B186" s="1" t="s">
        <v>5</v>
      </c>
      <c r="C186" s="1" t="s">
        <v>9</v>
      </c>
      <c r="D186" s="1" t="s">
        <v>80</v>
      </c>
      <c r="E186" s="1">
        <f t="shared" si="3"/>
        <v>-100</v>
      </c>
      <c r="F186" s="1" t="s">
        <v>8</v>
      </c>
      <c r="Q186" s="1">
        <v>100</v>
      </c>
    </row>
    <row r="187" spans="1:17">
      <c r="A187" s="1" t="s">
        <v>246</v>
      </c>
      <c r="B187" s="1" t="s">
        <v>5</v>
      </c>
      <c r="C187" s="1" t="s">
        <v>9</v>
      </c>
      <c r="D187" s="1" t="s">
        <v>247</v>
      </c>
      <c r="E187" s="1">
        <f t="shared" si="3"/>
        <v>-200</v>
      </c>
      <c r="F187" s="1" t="s">
        <v>8</v>
      </c>
      <c r="Q187" s="1">
        <v>200</v>
      </c>
    </row>
    <row r="188" spans="1:17">
      <c r="A188" s="1" t="s">
        <v>248</v>
      </c>
      <c r="B188" s="1" t="s">
        <v>5</v>
      </c>
      <c r="C188" s="1" t="s">
        <v>6</v>
      </c>
      <c r="D188" s="1" t="s">
        <v>249</v>
      </c>
      <c r="E188" s="1">
        <f t="shared" si="3"/>
        <v>-113</v>
      </c>
      <c r="F188" s="1" t="s">
        <v>8</v>
      </c>
      <c r="Q188" s="1">
        <v>113</v>
      </c>
    </row>
    <row r="189" spans="1:17">
      <c r="A189" s="1" t="s">
        <v>248</v>
      </c>
      <c r="B189" s="1" t="s">
        <v>5</v>
      </c>
      <c r="C189" s="1" t="s">
        <v>190</v>
      </c>
      <c r="D189" s="1" t="s">
        <v>17</v>
      </c>
      <c r="E189" s="1">
        <f t="shared" si="3"/>
        <v>1000</v>
      </c>
      <c r="F189" s="1" t="s">
        <v>16</v>
      </c>
      <c r="Q189" s="1">
        <v>1000</v>
      </c>
    </row>
    <row r="190" spans="1:17">
      <c r="A190" s="1" t="s">
        <v>250</v>
      </c>
      <c r="B190" s="1" t="s">
        <v>5</v>
      </c>
      <c r="C190" s="1" t="s">
        <v>9</v>
      </c>
      <c r="D190" s="1" t="s">
        <v>251</v>
      </c>
      <c r="E190" s="1">
        <f t="shared" si="3"/>
        <v>400</v>
      </c>
      <c r="F190" s="1" t="s">
        <v>16</v>
      </c>
      <c r="Q190" s="1">
        <v>400</v>
      </c>
    </row>
    <row r="191" spans="1:17">
      <c r="A191" s="1" t="s">
        <v>252</v>
      </c>
      <c r="B191" s="1" t="s">
        <v>5</v>
      </c>
      <c r="C191" s="1" t="s">
        <v>26</v>
      </c>
      <c r="D191" s="1" t="s">
        <v>253</v>
      </c>
      <c r="E191" s="1">
        <f t="shared" si="3"/>
        <v>-363.72</v>
      </c>
      <c r="F191" s="1" t="s">
        <v>8</v>
      </c>
      <c r="Q191" s="1">
        <v>363.72</v>
      </c>
    </row>
    <row r="192" spans="1:17">
      <c r="A192" s="1" t="s">
        <v>254</v>
      </c>
      <c r="B192" s="1" t="s">
        <v>5</v>
      </c>
      <c r="C192" s="1" t="s">
        <v>6</v>
      </c>
      <c r="D192" s="1" t="s">
        <v>23</v>
      </c>
      <c r="E192" s="1">
        <f t="shared" si="3"/>
        <v>-160</v>
      </c>
      <c r="F192" s="1" t="s">
        <v>8</v>
      </c>
      <c r="Q192" s="1">
        <v>160</v>
      </c>
    </row>
    <row r="193" spans="1:17">
      <c r="A193" s="1" t="s">
        <v>255</v>
      </c>
      <c r="B193" s="1" t="s">
        <v>5</v>
      </c>
      <c r="C193" s="1" t="s">
        <v>6</v>
      </c>
      <c r="D193" s="1" t="s">
        <v>224</v>
      </c>
      <c r="E193" s="1">
        <f t="shared" si="3"/>
        <v>-70</v>
      </c>
      <c r="F193" s="1" t="s">
        <v>8</v>
      </c>
      <c r="Q193" s="1">
        <v>70</v>
      </c>
    </row>
    <row r="194" spans="1:17">
      <c r="A194" s="1" t="s">
        <v>256</v>
      </c>
      <c r="B194" s="1" t="s">
        <v>5</v>
      </c>
      <c r="C194" s="1" t="s">
        <v>6</v>
      </c>
      <c r="D194" s="1" t="s">
        <v>106</v>
      </c>
      <c r="E194" s="1">
        <f t="shared" si="3"/>
        <v>-110</v>
      </c>
      <c r="F194" s="1" t="s">
        <v>8</v>
      </c>
      <c r="Q194" s="1">
        <v>110</v>
      </c>
    </row>
    <row r="195" spans="1:17">
      <c r="A195" s="1" t="s">
        <v>257</v>
      </c>
      <c r="B195" s="1" t="s">
        <v>5</v>
      </c>
      <c r="C195" s="1" t="s">
        <v>9</v>
      </c>
      <c r="D195" s="1" t="s">
        <v>258</v>
      </c>
      <c r="E195" s="1">
        <f t="shared" ref="E195:E258" si="4">IF(F195="Expense", -Q195, Q195)</f>
        <v>-50</v>
      </c>
      <c r="F195" s="1" t="s">
        <v>8</v>
      </c>
      <c r="Q195" s="1">
        <v>50</v>
      </c>
    </row>
    <row r="196" spans="1:17">
      <c r="A196" s="1" t="s">
        <v>259</v>
      </c>
      <c r="B196" s="1" t="s">
        <v>5</v>
      </c>
      <c r="C196" s="1" t="s">
        <v>6</v>
      </c>
      <c r="D196" s="1" t="s">
        <v>260</v>
      </c>
      <c r="E196" s="1">
        <f t="shared" si="4"/>
        <v>-30</v>
      </c>
      <c r="F196" s="1" t="s">
        <v>8</v>
      </c>
      <c r="Q196" s="1">
        <v>30</v>
      </c>
    </row>
    <row r="197" spans="1:17">
      <c r="A197" s="1" t="s">
        <v>261</v>
      </c>
      <c r="B197" s="1" t="s">
        <v>5</v>
      </c>
      <c r="C197" s="1" t="s">
        <v>6</v>
      </c>
      <c r="D197" s="1" t="s">
        <v>262</v>
      </c>
      <c r="E197" s="1">
        <f t="shared" si="4"/>
        <v>-20</v>
      </c>
      <c r="F197" s="1" t="s">
        <v>8</v>
      </c>
      <c r="Q197" s="1">
        <v>20</v>
      </c>
    </row>
    <row r="198" spans="1:17">
      <c r="A198" s="1" t="s">
        <v>263</v>
      </c>
      <c r="B198" s="1" t="s">
        <v>5</v>
      </c>
      <c r="C198" s="1" t="s">
        <v>6</v>
      </c>
      <c r="D198" s="1" t="s">
        <v>23</v>
      </c>
      <c r="E198" s="1">
        <f t="shared" si="4"/>
        <v>-30</v>
      </c>
      <c r="F198" s="1" t="s">
        <v>8</v>
      </c>
      <c r="Q198" s="1">
        <v>30</v>
      </c>
    </row>
    <row r="199" spans="1:17">
      <c r="A199" s="1" t="s">
        <v>264</v>
      </c>
      <c r="B199" s="1" t="s">
        <v>5</v>
      </c>
      <c r="C199" s="1" t="s">
        <v>6</v>
      </c>
      <c r="D199" s="1" t="s">
        <v>224</v>
      </c>
      <c r="E199" s="1">
        <f t="shared" si="4"/>
        <v>-110</v>
      </c>
      <c r="F199" s="1" t="s">
        <v>8</v>
      </c>
      <c r="Q199" s="1">
        <v>110</v>
      </c>
    </row>
    <row r="200" spans="1:17">
      <c r="A200" s="1" t="s">
        <v>265</v>
      </c>
      <c r="B200" s="1" t="s">
        <v>5</v>
      </c>
      <c r="C200" s="1" t="s">
        <v>6</v>
      </c>
      <c r="D200" s="1" t="s">
        <v>23</v>
      </c>
      <c r="E200" s="1">
        <f t="shared" si="4"/>
        <v>-40</v>
      </c>
      <c r="F200" s="1" t="s">
        <v>8</v>
      </c>
      <c r="Q200" s="1">
        <v>40</v>
      </c>
    </row>
    <row r="201" spans="1:17">
      <c r="A201" s="1" t="s">
        <v>266</v>
      </c>
      <c r="B201" s="1" t="s">
        <v>5</v>
      </c>
      <c r="C201" s="1" t="s">
        <v>6</v>
      </c>
      <c r="D201" s="1" t="s">
        <v>14</v>
      </c>
      <c r="E201" s="1">
        <f t="shared" si="4"/>
        <v>-75</v>
      </c>
      <c r="F201" s="1" t="s">
        <v>8</v>
      </c>
      <c r="Q201" s="1">
        <v>75</v>
      </c>
    </row>
    <row r="202" spans="1:17">
      <c r="A202" s="1" t="s">
        <v>267</v>
      </c>
      <c r="B202" s="1" t="s">
        <v>5</v>
      </c>
      <c r="C202" s="1" t="s">
        <v>6</v>
      </c>
      <c r="D202" s="1" t="s">
        <v>262</v>
      </c>
      <c r="E202" s="1">
        <f t="shared" si="4"/>
        <v>-80</v>
      </c>
      <c r="F202" s="1" t="s">
        <v>8</v>
      </c>
      <c r="Q202" s="1">
        <v>80</v>
      </c>
    </row>
    <row r="203" spans="1:17">
      <c r="A203" s="1" t="s">
        <v>268</v>
      </c>
      <c r="B203" s="1" t="s">
        <v>5</v>
      </c>
      <c r="C203" s="1" t="s">
        <v>6</v>
      </c>
      <c r="D203" s="1" t="s">
        <v>14</v>
      </c>
      <c r="E203" s="1">
        <f t="shared" si="4"/>
        <v>-74</v>
      </c>
      <c r="F203" s="1" t="s">
        <v>8</v>
      </c>
      <c r="Q203" s="1">
        <v>74</v>
      </c>
    </row>
    <row r="204" spans="1:17">
      <c r="A204" s="1" t="s">
        <v>269</v>
      </c>
      <c r="B204" s="1" t="s">
        <v>5</v>
      </c>
      <c r="C204" s="1" t="s">
        <v>6</v>
      </c>
      <c r="D204" s="1" t="s">
        <v>224</v>
      </c>
      <c r="E204" s="1">
        <f t="shared" si="4"/>
        <v>-65</v>
      </c>
      <c r="F204" s="1" t="s">
        <v>8</v>
      </c>
      <c r="Q204" s="1">
        <v>65</v>
      </c>
    </row>
    <row r="205" spans="1:17">
      <c r="A205" s="2">
        <v>44542.907638888886</v>
      </c>
      <c r="B205" s="1" t="s">
        <v>5</v>
      </c>
      <c r="C205" s="1" t="s">
        <v>6</v>
      </c>
      <c r="D205" s="1" t="s">
        <v>224</v>
      </c>
      <c r="E205" s="1">
        <f t="shared" si="4"/>
        <v>-25</v>
      </c>
      <c r="F205" s="1" t="s">
        <v>8</v>
      </c>
      <c r="Q205" s="1">
        <v>25</v>
      </c>
    </row>
    <row r="206" spans="1:17">
      <c r="A206" s="2">
        <v>44512.390277777777</v>
      </c>
      <c r="B206" s="1" t="s">
        <v>5</v>
      </c>
      <c r="C206" s="1" t="s">
        <v>190</v>
      </c>
      <c r="D206" s="1" t="s">
        <v>17</v>
      </c>
      <c r="E206" s="1">
        <f t="shared" si="4"/>
        <v>1000</v>
      </c>
      <c r="F206" s="1" t="s">
        <v>16</v>
      </c>
      <c r="Q206" s="1">
        <v>1000</v>
      </c>
    </row>
    <row r="207" spans="1:17">
      <c r="A207" s="2">
        <v>44512.347222222219</v>
      </c>
      <c r="B207" s="1" t="s">
        <v>5</v>
      </c>
      <c r="C207" s="1" t="s">
        <v>9</v>
      </c>
      <c r="D207" s="1" t="s">
        <v>270</v>
      </c>
      <c r="E207" s="1">
        <f t="shared" si="4"/>
        <v>240</v>
      </c>
      <c r="F207" s="1" t="s">
        <v>16</v>
      </c>
      <c r="Q207" s="1">
        <v>240</v>
      </c>
    </row>
    <row r="208" spans="1:17">
      <c r="A208" s="2">
        <v>44481.901388888888</v>
      </c>
      <c r="B208" s="1" t="s">
        <v>5</v>
      </c>
      <c r="C208" s="1" t="s">
        <v>6</v>
      </c>
      <c r="D208" s="1" t="s">
        <v>271</v>
      </c>
      <c r="E208" s="1">
        <f t="shared" si="4"/>
        <v>-241</v>
      </c>
      <c r="F208" s="1" t="s">
        <v>8</v>
      </c>
      <c r="Q208" s="1">
        <v>241</v>
      </c>
    </row>
    <row r="209" spans="1:17">
      <c r="A209" s="2">
        <v>44481.871527777781</v>
      </c>
      <c r="B209" s="1" t="s">
        <v>5</v>
      </c>
      <c r="C209" s="1" t="s">
        <v>6</v>
      </c>
      <c r="D209" s="1" t="s">
        <v>272</v>
      </c>
      <c r="E209" s="1">
        <f t="shared" si="4"/>
        <v>-195</v>
      </c>
      <c r="F209" s="1" t="s">
        <v>8</v>
      </c>
      <c r="Q209" s="1">
        <v>195</v>
      </c>
    </row>
    <row r="210" spans="1:17">
      <c r="A210" s="2">
        <v>44451.835416666669</v>
      </c>
      <c r="B210" s="1" t="s">
        <v>5</v>
      </c>
      <c r="C210" s="1" t="s">
        <v>6</v>
      </c>
      <c r="D210" s="1" t="s">
        <v>273</v>
      </c>
      <c r="E210" s="1">
        <f t="shared" si="4"/>
        <v>-40</v>
      </c>
      <c r="F210" s="1" t="s">
        <v>8</v>
      </c>
      <c r="Q210" s="1">
        <v>40</v>
      </c>
    </row>
    <row r="211" spans="1:17">
      <c r="A211" s="2">
        <v>44451.584027777775</v>
      </c>
      <c r="B211" s="1" t="s">
        <v>5</v>
      </c>
      <c r="C211" s="1" t="s">
        <v>6</v>
      </c>
      <c r="D211" s="1" t="s">
        <v>106</v>
      </c>
      <c r="E211" s="1">
        <f t="shared" si="4"/>
        <v>-280</v>
      </c>
      <c r="F211" s="1" t="s">
        <v>8</v>
      </c>
      <c r="Q211" s="1">
        <v>280</v>
      </c>
    </row>
    <row r="212" spans="1:17">
      <c r="A212" s="2">
        <v>44451.413888888892</v>
      </c>
      <c r="B212" s="1" t="s">
        <v>5</v>
      </c>
      <c r="C212" s="1" t="s">
        <v>6</v>
      </c>
      <c r="D212" s="1" t="s">
        <v>224</v>
      </c>
      <c r="E212" s="1">
        <f t="shared" si="4"/>
        <v>-25</v>
      </c>
      <c r="F212" s="1" t="s">
        <v>8</v>
      </c>
      <c r="Q212" s="1">
        <v>25</v>
      </c>
    </row>
    <row r="213" spans="1:17">
      <c r="A213" s="2">
        <v>44451.365972222222</v>
      </c>
      <c r="B213" s="1" t="s">
        <v>5</v>
      </c>
      <c r="C213" s="1" t="s">
        <v>6</v>
      </c>
      <c r="D213" s="1" t="s">
        <v>274</v>
      </c>
      <c r="E213" s="1">
        <f t="shared" si="4"/>
        <v>-110</v>
      </c>
      <c r="F213" s="1" t="s">
        <v>8</v>
      </c>
      <c r="Q213" s="1">
        <v>110</v>
      </c>
    </row>
    <row r="214" spans="1:17">
      <c r="A214" s="2">
        <v>44420.59375</v>
      </c>
      <c r="B214" s="1" t="s">
        <v>5</v>
      </c>
      <c r="C214" s="1" t="s">
        <v>6</v>
      </c>
      <c r="D214" s="1" t="s">
        <v>275</v>
      </c>
      <c r="E214" s="1">
        <f t="shared" si="4"/>
        <v>-100</v>
      </c>
      <c r="F214" s="1" t="s">
        <v>8</v>
      </c>
      <c r="Q214" s="1">
        <v>100</v>
      </c>
    </row>
    <row r="215" spans="1:17">
      <c r="A215" s="2">
        <v>44420.59375</v>
      </c>
      <c r="B215" s="1" t="s">
        <v>276</v>
      </c>
      <c r="C215" s="1" t="s">
        <v>6</v>
      </c>
      <c r="D215" s="1" t="s">
        <v>277</v>
      </c>
      <c r="E215" s="1">
        <f t="shared" si="4"/>
        <v>-1120.72</v>
      </c>
      <c r="F215" s="1" t="s">
        <v>8</v>
      </c>
      <c r="Q215" s="1">
        <v>1120.72</v>
      </c>
    </row>
    <row r="216" spans="1:17">
      <c r="A216" s="2">
        <v>44420.303472222222</v>
      </c>
      <c r="B216" s="1" t="s">
        <v>5</v>
      </c>
      <c r="C216" s="1" t="s">
        <v>6</v>
      </c>
      <c r="D216" s="1" t="s">
        <v>278</v>
      </c>
      <c r="E216" s="1">
        <f t="shared" si="4"/>
        <v>-10</v>
      </c>
      <c r="F216" s="1" t="s">
        <v>8</v>
      </c>
      <c r="Q216" s="1">
        <v>10</v>
      </c>
    </row>
    <row r="217" spans="1:17">
      <c r="A217" s="2">
        <v>44389.412499999999</v>
      </c>
      <c r="B217" s="1" t="s">
        <v>5</v>
      </c>
      <c r="C217" s="1" t="s">
        <v>6</v>
      </c>
      <c r="D217" s="1" t="s">
        <v>224</v>
      </c>
      <c r="E217" s="1">
        <f t="shared" si="4"/>
        <v>-25</v>
      </c>
      <c r="F217" s="1" t="s">
        <v>8</v>
      </c>
      <c r="Q217" s="1">
        <v>25</v>
      </c>
    </row>
    <row r="218" spans="1:17">
      <c r="A218" s="2">
        <v>44389.332638888889</v>
      </c>
      <c r="B218" s="1" t="s">
        <v>5</v>
      </c>
      <c r="C218" s="1" t="s">
        <v>6</v>
      </c>
      <c r="D218" s="1" t="s">
        <v>279</v>
      </c>
      <c r="E218" s="1">
        <f t="shared" si="4"/>
        <v>-15</v>
      </c>
      <c r="F218" s="1" t="s">
        <v>8</v>
      </c>
      <c r="Q218" s="1">
        <v>15</v>
      </c>
    </row>
    <row r="219" spans="1:17">
      <c r="A219" s="2">
        <v>44359.915972222225</v>
      </c>
      <c r="B219" s="1" t="s">
        <v>5</v>
      </c>
      <c r="C219" s="1" t="s">
        <v>6</v>
      </c>
      <c r="D219" s="1" t="s">
        <v>224</v>
      </c>
      <c r="E219" s="1">
        <f t="shared" si="4"/>
        <v>-25</v>
      </c>
      <c r="F219" s="1" t="s">
        <v>8</v>
      </c>
      <c r="Q219" s="1">
        <v>25</v>
      </c>
    </row>
    <row r="220" spans="1:17">
      <c r="A220" s="2">
        <v>44359.838194444441</v>
      </c>
      <c r="B220" s="1" t="s">
        <v>5</v>
      </c>
      <c r="C220" s="1" t="s">
        <v>36</v>
      </c>
      <c r="D220" s="1" t="s">
        <v>280</v>
      </c>
      <c r="E220" s="1">
        <f t="shared" si="4"/>
        <v>-500</v>
      </c>
      <c r="F220" s="1" t="s">
        <v>8</v>
      </c>
      <c r="Q220" s="1">
        <v>500</v>
      </c>
    </row>
    <row r="221" spans="1:17">
      <c r="A221" s="2">
        <v>44359.831250000003</v>
      </c>
      <c r="B221" s="1" t="s">
        <v>5</v>
      </c>
      <c r="C221" s="1" t="s">
        <v>36</v>
      </c>
      <c r="D221" s="1" t="s">
        <v>281</v>
      </c>
      <c r="E221" s="1">
        <f t="shared" si="4"/>
        <v>-140</v>
      </c>
      <c r="F221" s="1" t="s">
        <v>8</v>
      </c>
      <c r="Q221" s="1">
        <v>140</v>
      </c>
    </row>
    <row r="222" spans="1:17">
      <c r="A222" s="2">
        <v>44359.588888888888</v>
      </c>
      <c r="B222" s="1" t="s">
        <v>5</v>
      </c>
      <c r="C222" s="1" t="s">
        <v>6</v>
      </c>
      <c r="D222" s="1" t="s">
        <v>275</v>
      </c>
      <c r="E222" s="1">
        <f t="shared" si="4"/>
        <v>-150</v>
      </c>
      <c r="F222" s="1" t="s">
        <v>8</v>
      </c>
      <c r="Q222" s="1">
        <v>150</v>
      </c>
    </row>
    <row r="223" spans="1:17">
      <c r="A223" s="2">
        <v>44328.822916666664</v>
      </c>
      <c r="B223" s="1" t="s">
        <v>5</v>
      </c>
      <c r="C223" s="1" t="s">
        <v>6</v>
      </c>
      <c r="D223" s="1" t="s">
        <v>224</v>
      </c>
      <c r="E223" s="1">
        <f t="shared" si="4"/>
        <v>-25</v>
      </c>
      <c r="F223" s="1" t="s">
        <v>8</v>
      </c>
      <c r="Q223" s="1">
        <v>25</v>
      </c>
    </row>
    <row r="224" spans="1:17">
      <c r="A224" s="2">
        <v>44328.77847222222</v>
      </c>
      <c r="B224" s="1" t="s">
        <v>5</v>
      </c>
      <c r="C224" s="1" t="s">
        <v>36</v>
      </c>
      <c r="D224" s="1" t="s">
        <v>282</v>
      </c>
      <c r="E224" s="1">
        <f t="shared" si="4"/>
        <v>-1800</v>
      </c>
      <c r="F224" s="1" t="s">
        <v>8</v>
      </c>
      <c r="Q224" s="1">
        <v>1800</v>
      </c>
    </row>
    <row r="225" spans="1:17">
      <c r="A225" s="2">
        <v>44328.515972222223</v>
      </c>
      <c r="B225" s="1" t="s">
        <v>5</v>
      </c>
      <c r="C225" s="1" t="s">
        <v>30</v>
      </c>
      <c r="D225" s="1" t="s">
        <v>165</v>
      </c>
      <c r="E225" s="1">
        <f t="shared" si="4"/>
        <v>-4800</v>
      </c>
      <c r="F225" s="1" t="s">
        <v>8</v>
      </c>
      <c r="Q225" s="1">
        <v>4800</v>
      </c>
    </row>
    <row r="226" spans="1:17">
      <c r="A226" s="2">
        <v>44328.515972222223</v>
      </c>
      <c r="B226" s="1" t="s">
        <v>5</v>
      </c>
      <c r="C226" s="1" t="s">
        <v>190</v>
      </c>
      <c r="D226" s="1" t="s">
        <v>17</v>
      </c>
      <c r="E226" s="1">
        <f t="shared" si="4"/>
        <v>8000</v>
      </c>
      <c r="F226" s="1" t="s">
        <v>16</v>
      </c>
      <c r="Q226" s="1">
        <v>8000</v>
      </c>
    </row>
    <row r="227" spans="1:17">
      <c r="A227" s="2">
        <v>44298.878472222219</v>
      </c>
      <c r="B227" s="1" t="s">
        <v>5</v>
      </c>
      <c r="C227" s="1" t="s">
        <v>6</v>
      </c>
      <c r="D227" s="1" t="s">
        <v>11</v>
      </c>
      <c r="E227" s="1">
        <f t="shared" si="4"/>
        <v>-324</v>
      </c>
      <c r="F227" s="1" t="s">
        <v>8</v>
      </c>
      <c r="Q227" s="1">
        <v>324</v>
      </c>
    </row>
    <row r="228" spans="1:17">
      <c r="A228" s="2">
        <v>44298.847222222219</v>
      </c>
      <c r="B228" s="1" t="s">
        <v>5</v>
      </c>
      <c r="C228" s="1" t="s">
        <v>6</v>
      </c>
      <c r="D228" s="1" t="s">
        <v>124</v>
      </c>
      <c r="E228" s="1">
        <f t="shared" si="4"/>
        <v>-65</v>
      </c>
      <c r="F228" s="1" t="s">
        <v>8</v>
      </c>
      <c r="Q228" s="1">
        <v>65</v>
      </c>
    </row>
    <row r="229" spans="1:17">
      <c r="A229" s="2">
        <v>44298.57916666667</v>
      </c>
      <c r="B229" s="1" t="s">
        <v>5</v>
      </c>
      <c r="C229" s="1" t="s">
        <v>9</v>
      </c>
      <c r="D229" s="1" t="s">
        <v>283</v>
      </c>
      <c r="E229" s="1">
        <f t="shared" si="4"/>
        <v>-30</v>
      </c>
      <c r="F229" s="1" t="s">
        <v>8</v>
      </c>
      <c r="Q229" s="1">
        <v>30</v>
      </c>
    </row>
    <row r="230" spans="1:17">
      <c r="A230" s="2">
        <v>44298.425694444442</v>
      </c>
      <c r="B230" s="1" t="s">
        <v>5</v>
      </c>
      <c r="C230" s="1" t="s">
        <v>6</v>
      </c>
      <c r="D230" s="1" t="s">
        <v>284</v>
      </c>
      <c r="E230" s="1">
        <f t="shared" si="4"/>
        <v>-200</v>
      </c>
      <c r="F230" s="1" t="s">
        <v>8</v>
      </c>
      <c r="Q230" s="1">
        <v>200</v>
      </c>
    </row>
    <row r="231" spans="1:17">
      <c r="A231" s="2">
        <v>44267.915972222225</v>
      </c>
      <c r="B231" s="1" t="s">
        <v>5</v>
      </c>
      <c r="C231" s="1" t="s">
        <v>6</v>
      </c>
      <c r="D231" s="1" t="s">
        <v>224</v>
      </c>
      <c r="E231" s="1">
        <f t="shared" si="4"/>
        <v>-25</v>
      </c>
      <c r="F231" s="1" t="s">
        <v>8</v>
      </c>
      <c r="Q231" s="1">
        <v>25</v>
      </c>
    </row>
    <row r="232" spans="1:17">
      <c r="A232" s="2">
        <v>44267.915972222225</v>
      </c>
      <c r="B232" s="1" t="s">
        <v>5</v>
      </c>
      <c r="C232" s="1" t="s">
        <v>36</v>
      </c>
      <c r="D232" s="1" t="s">
        <v>285</v>
      </c>
      <c r="E232" s="1">
        <f t="shared" si="4"/>
        <v>-130</v>
      </c>
      <c r="F232" s="1" t="s">
        <v>8</v>
      </c>
      <c r="Q232" s="1">
        <v>130</v>
      </c>
    </row>
    <row r="233" spans="1:17">
      <c r="A233" s="2">
        <v>44267.894444444442</v>
      </c>
      <c r="B233" s="1" t="s">
        <v>5</v>
      </c>
      <c r="C233" s="1" t="s">
        <v>36</v>
      </c>
      <c r="D233" s="1" t="s">
        <v>286</v>
      </c>
      <c r="E233" s="1">
        <f t="shared" si="4"/>
        <v>-20</v>
      </c>
      <c r="F233" s="1" t="s">
        <v>8</v>
      </c>
      <c r="Q233" s="1">
        <v>20</v>
      </c>
    </row>
    <row r="234" spans="1:17">
      <c r="A234" s="2">
        <v>44267.894444444442</v>
      </c>
      <c r="B234" s="1" t="s">
        <v>5</v>
      </c>
      <c r="C234" s="1" t="s">
        <v>6</v>
      </c>
      <c r="D234" s="1" t="s">
        <v>124</v>
      </c>
      <c r="E234" s="1">
        <f t="shared" si="4"/>
        <v>-40</v>
      </c>
      <c r="F234" s="1" t="s">
        <v>8</v>
      </c>
      <c r="Q234" s="1">
        <v>40</v>
      </c>
    </row>
    <row r="235" spans="1:17">
      <c r="A235" s="2">
        <v>44267.894444444442</v>
      </c>
      <c r="B235" s="1" t="s">
        <v>5</v>
      </c>
      <c r="C235" s="1" t="s">
        <v>190</v>
      </c>
      <c r="D235" s="1" t="s">
        <v>17</v>
      </c>
      <c r="E235" s="1">
        <f t="shared" si="4"/>
        <v>1000</v>
      </c>
      <c r="F235" s="1" t="s">
        <v>16</v>
      </c>
      <c r="Q235" s="1">
        <v>1000</v>
      </c>
    </row>
    <row r="236" spans="1:17">
      <c r="A236" s="2">
        <v>44239.838194444441</v>
      </c>
      <c r="B236" s="1" t="s">
        <v>5</v>
      </c>
      <c r="C236" s="1" t="s">
        <v>6</v>
      </c>
      <c r="D236" s="1" t="s">
        <v>287</v>
      </c>
      <c r="E236" s="1">
        <f t="shared" si="4"/>
        <v>-504</v>
      </c>
      <c r="F236" s="1" t="s">
        <v>8</v>
      </c>
      <c r="Q236" s="1">
        <v>504</v>
      </c>
    </row>
    <row r="237" spans="1:17">
      <c r="A237" s="2">
        <v>44239.824999999997</v>
      </c>
      <c r="B237" s="1" t="s">
        <v>5</v>
      </c>
      <c r="C237" s="1" t="s">
        <v>6</v>
      </c>
      <c r="D237" s="1" t="s">
        <v>288</v>
      </c>
      <c r="E237" s="1">
        <f t="shared" si="4"/>
        <v>-75</v>
      </c>
      <c r="F237" s="1" t="s">
        <v>8</v>
      </c>
      <c r="Q237" s="1">
        <v>75</v>
      </c>
    </row>
    <row r="238" spans="1:17">
      <c r="A238" s="2">
        <v>44208.831250000003</v>
      </c>
      <c r="B238" s="1" t="s">
        <v>5</v>
      </c>
      <c r="C238" s="1" t="s">
        <v>289</v>
      </c>
      <c r="D238" s="1" t="s">
        <v>290</v>
      </c>
      <c r="E238" s="1">
        <f t="shared" si="4"/>
        <v>-196</v>
      </c>
      <c r="F238" s="1" t="s">
        <v>8</v>
      </c>
      <c r="Q238" s="1">
        <v>196</v>
      </c>
    </row>
    <row r="239" spans="1:17">
      <c r="A239" s="2">
        <v>44208.583333333336</v>
      </c>
      <c r="B239" s="1" t="s">
        <v>5</v>
      </c>
      <c r="C239" s="1" t="s">
        <v>6</v>
      </c>
      <c r="D239" s="1" t="s">
        <v>106</v>
      </c>
      <c r="E239" s="1">
        <f t="shared" si="4"/>
        <v>-160</v>
      </c>
      <c r="F239" s="1" t="s">
        <v>8</v>
      </c>
      <c r="Q239" s="1">
        <v>160</v>
      </c>
    </row>
    <row r="240" spans="1:17">
      <c r="A240" s="1" t="s">
        <v>291</v>
      </c>
      <c r="B240" s="1" t="s">
        <v>5</v>
      </c>
      <c r="C240" s="1" t="s">
        <v>292</v>
      </c>
      <c r="D240" s="1" t="s">
        <v>293</v>
      </c>
      <c r="E240" s="1">
        <f t="shared" si="4"/>
        <v>-115</v>
      </c>
      <c r="F240" s="1" t="s">
        <v>8</v>
      </c>
      <c r="Q240" s="1">
        <v>115</v>
      </c>
    </row>
    <row r="241" spans="1:17">
      <c r="A241" s="1" t="s">
        <v>294</v>
      </c>
      <c r="B241" s="1" t="s">
        <v>5</v>
      </c>
      <c r="C241" s="1" t="s">
        <v>6</v>
      </c>
      <c r="D241" s="1" t="s">
        <v>106</v>
      </c>
      <c r="E241" s="1">
        <f t="shared" si="4"/>
        <v>-128</v>
      </c>
      <c r="F241" s="1" t="s">
        <v>8</v>
      </c>
      <c r="Q241" s="1">
        <v>128</v>
      </c>
    </row>
    <row r="242" spans="1:17">
      <c r="A242" s="1" t="s">
        <v>295</v>
      </c>
      <c r="B242" s="1" t="s">
        <v>5</v>
      </c>
      <c r="C242" s="1" t="s">
        <v>6</v>
      </c>
      <c r="D242" s="1" t="s">
        <v>284</v>
      </c>
      <c r="E242" s="1">
        <f t="shared" si="4"/>
        <v>-70</v>
      </c>
      <c r="F242" s="1" t="s">
        <v>8</v>
      </c>
      <c r="Q242" s="1">
        <v>70</v>
      </c>
    </row>
    <row r="243" spans="1:17">
      <c r="A243" s="1" t="s">
        <v>296</v>
      </c>
      <c r="B243" s="1" t="s">
        <v>5</v>
      </c>
      <c r="C243" s="1" t="s">
        <v>6</v>
      </c>
      <c r="D243" s="1" t="s">
        <v>106</v>
      </c>
      <c r="E243" s="1">
        <f t="shared" si="4"/>
        <v>-40</v>
      </c>
      <c r="F243" s="1" t="s">
        <v>8</v>
      </c>
      <c r="Q243" s="1">
        <v>40</v>
      </c>
    </row>
    <row r="244" spans="1:17">
      <c r="A244" s="1" t="s">
        <v>296</v>
      </c>
      <c r="B244" s="1" t="s">
        <v>5</v>
      </c>
      <c r="C244" s="1" t="s">
        <v>6</v>
      </c>
      <c r="D244" s="1" t="s">
        <v>11</v>
      </c>
      <c r="E244" s="1">
        <f t="shared" si="4"/>
        <v>-50</v>
      </c>
      <c r="F244" s="1" t="s">
        <v>8</v>
      </c>
      <c r="Q244" s="1">
        <v>50</v>
      </c>
    </row>
    <row r="245" spans="1:17">
      <c r="A245" s="1" t="s">
        <v>297</v>
      </c>
      <c r="B245" s="1" t="s">
        <v>5</v>
      </c>
      <c r="C245" s="1" t="s">
        <v>6</v>
      </c>
      <c r="D245" s="1" t="s">
        <v>262</v>
      </c>
      <c r="E245" s="1">
        <f t="shared" si="4"/>
        <v>-40</v>
      </c>
      <c r="F245" s="1" t="s">
        <v>8</v>
      </c>
      <c r="Q245" s="1">
        <v>40</v>
      </c>
    </row>
    <row r="246" spans="1:17">
      <c r="A246" s="1" t="s">
        <v>298</v>
      </c>
      <c r="B246" s="1" t="s">
        <v>5</v>
      </c>
      <c r="C246" s="1" t="s">
        <v>6</v>
      </c>
      <c r="D246" s="1" t="s">
        <v>284</v>
      </c>
      <c r="E246" s="1">
        <f t="shared" si="4"/>
        <v>-40</v>
      </c>
      <c r="F246" s="1" t="s">
        <v>8</v>
      </c>
      <c r="Q246" s="1">
        <v>40</v>
      </c>
    </row>
    <row r="247" spans="1:17">
      <c r="A247" s="1" t="s">
        <v>299</v>
      </c>
      <c r="B247" s="1" t="s">
        <v>5</v>
      </c>
      <c r="C247" s="1" t="s">
        <v>6</v>
      </c>
      <c r="D247" s="1" t="s">
        <v>124</v>
      </c>
      <c r="E247" s="1">
        <f t="shared" si="4"/>
        <v>-94</v>
      </c>
      <c r="F247" s="1" t="s">
        <v>8</v>
      </c>
      <c r="Q247" s="1">
        <v>94</v>
      </c>
    </row>
    <row r="248" spans="1:17">
      <c r="A248" s="1" t="s">
        <v>300</v>
      </c>
      <c r="B248" s="1" t="s">
        <v>5</v>
      </c>
      <c r="C248" s="1" t="s">
        <v>6</v>
      </c>
      <c r="D248" s="1" t="s">
        <v>301</v>
      </c>
      <c r="E248" s="1">
        <f t="shared" si="4"/>
        <v>-269.39999999999998</v>
      </c>
      <c r="F248" s="1" t="s">
        <v>8</v>
      </c>
      <c r="Q248" s="1">
        <v>269.39999999999998</v>
      </c>
    </row>
    <row r="249" spans="1:17">
      <c r="A249" s="1" t="s">
        <v>302</v>
      </c>
      <c r="B249" s="1" t="s">
        <v>5</v>
      </c>
      <c r="C249" s="1" t="s">
        <v>6</v>
      </c>
      <c r="D249" s="1" t="s">
        <v>303</v>
      </c>
      <c r="E249" s="1">
        <f t="shared" si="4"/>
        <v>-120</v>
      </c>
      <c r="F249" s="1" t="s">
        <v>8</v>
      </c>
      <c r="Q249" s="1">
        <v>120</v>
      </c>
    </row>
    <row r="250" spans="1:17">
      <c r="A250" s="1" t="s">
        <v>304</v>
      </c>
      <c r="B250" s="1" t="s">
        <v>5</v>
      </c>
      <c r="C250" s="1" t="s">
        <v>6</v>
      </c>
      <c r="D250" s="1" t="s">
        <v>303</v>
      </c>
      <c r="E250" s="1">
        <f t="shared" si="4"/>
        <v>-130</v>
      </c>
      <c r="F250" s="1" t="s">
        <v>8</v>
      </c>
      <c r="Q250" s="1">
        <v>130</v>
      </c>
    </row>
    <row r="251" spans="1:17">
      <c r="A251" s="1" t="s">
        <v>305</v>
      </c>
      <c r="B251" s="1" t="s">
        <v>5</v>
      </c>
      <c r="C251" s="1" t="s">
        <v>12</v>
      </c>
      <c r="D251" s="1" t="s">
        <v>306</v>
      </c>
      <c r="E251" s="1">
        <f t="shared" si="4"/>
        <v>-35</v>
      </c>
      <c r="F251" s="1" t="s">
        <v>8</v>
      </c>
      <c r="Q251" s="1">
        <v>35</v>
      </c>
    </row>
    <row r="252" spans="1:17">
      <c r="A252" s="1" t="s">
        <v>307</v>
      </c>
      <c r="B252" s="1" t="s">
        <v>5</v>
      </c>
      <c r="C252" s="1" t="s">
        <v>6</v>
      </c>
      <c r="D252" s="1" t="s">
        <v>106</v>
      </c>
      <c r="E252" s="1">
        <f t="shared" si="4"/>
        <v>-75</v>
      </c>
      <c r="F252" s="1" t="s">
        <v>8</v>
      </c>
      <c r="Q252" s="1">
        <v>75</v>
      </c>
    </row>
    <row r="253" spans="1:17">
      <c r="A253" s="1" t="s">
        <v>307</v>
      </c>
      <c r="B253" s="1" t="s">
        <v>5</v>
      </c>
      <c r="C253" s="1" t="s">
        <v>190</v>
      </c>
      <c r="D253" s="1" t="s">
        <v>17</v>
      </c>
      <c r="E253" s="1">
        <f t="shared" si="4"/>
        <v>2000</v>
      </c>
      <c r="F253" s="1" t="s">
        <v>16</v>
      </c>
      <c r="Q253" s="1">
        <v>2000</v>
      </c>
    </row>
    <row r="254" spans="1:17">
      <c r="A254" s="1" t="s">
        <v>308</v>
      </c>
      <c r="B254" s="1" t="s">
        <v>5</v>
      </c>
      <c r="C254" s="1" t="s">
        <v>6</v>
      </c>
      <c r="D254" s="1" t="s">
        <v>284</v>
      </c>
      <c r="E254" s="1">
        <f t="shared" si="4"/>
        <v>-30</v>
      </c>
      <c r="F254" s="1" t="s">
        <v>8</v>
      </c>
      <c r="Q254" s="1">
        <v>30</v>
      </c>
    </row>
    <row r="255" spans="1:17">
      <c r="A255" s="1" t="s">
        <v>309</v>
      </c>
      <c r="B255" s="1" t="s">
        <v>5</v>
      </c>
      <c r="C255" s="1" t="s">
        <v>6</v>
      </c>
      <c r="D255" s="1" t="s">
        <v>226</v>
      </c>
      <c r="E255" s="1">
        <f t="shared" si="4"/>
        <v>-150</v>
      </c>
      <c r="F255" s="1" t="s">
        <v>8</v>
      </c>
      <c r="Q255" s="1">
        <v>150</v>
      </c>
    </row>
    <row r="256" spans="1:17">
      <c r="A256" s="1" t="s">
        <v>310</v>
      </c>
      <c r="B256" s="1" t="s">
        <v>5</v>
      </c>
      <c r="C256" s="1" t="s">
        <v>6</v>
      </c>
      <c r="D256" s="1" t="s">
        <v>124</v>
      </c>
      <c r="E256" s="1">
        <f t="shared" si="4"/>
        <v>-102</v>
      </c>
      <c r="F256" s="1" t="s">
        <v>8</v>
      </c>
      <c r="Q256" s="1">
        <v>102</v>
      </c>
    </row>
    <row r="257" spans="1:17">
      <c r="A257" s="1" t="s">
        <v>311</v>
      </c>
      <c r="B257" s="1" t="s">
        <v>5</v>
      </c>
      <c r="C257" s="1" t="s">
        <v>6</v>
      </c>
      <c r="D257" s="1" t="s">
        <v>262</v>
      </c>
      <c r="E257" s="1">
        <f t="shared" si="4"/>
        <v>-40</v>
      </c>
      <c r="F257" s="1" t="s">
        <v>8</v>
      </c>
      <c r="Q257" s="1">
        <v>40</v>
      </c>
    </row>
    <row r="258" spans="1:17">
      <c r="A258" s="1" t="s">
        <v>312</v>
      </c>
      <c r="B258" s="1" t="s">
        <v>5</v>
      </c>
      <c r="C258" s="1" t="s">
        <v>313</v>
      </c>
      <c r="D258" s="1" t="s">
        <v>314</v>
      </c>
      <c r="E258" s="1">
        <f t="shared" si="4"/>
        <v>3</v>
      </c>
      <c r="F258" s="1" t="s">
        <v>16</v>
      </c>
      <c r="Q258" s="1">
        <v>3</v>
      </c>
    </row>
    <row r="259" spans="1:17">
      <c r="A259" s="1" t="s">
        <v>312</v>
      </c>
      <c r="B259" s="1" t="s">
        <v>5</v>
      </c>
      <c r="C259" s="1" t="s">
        <v>6</v>
      </c>
      <c r="D259" s="1" t="s">
        <v>106</v>
      </c>
      <c r="E259" s="1">
        <f t="shared" ref="E259:E274" si="5">IF(F259="Expense", -Q259, Q259)</f>
        <v>-150</v>
      </c>
      <c r="F259" s="1" t="s">
        <v>8</v>
      </c>
      <c r="Q259" s="1">
        <v>150</v>
      </c>
    </row>
    <row r="260" spans="1:17">
      <c r="A260" s="1" t="s">
        <v>315</v>
      </c>
      <c r="B260" s="1" t="s">
        <v>5</v>
      </c>
      <c r="C260" s="1" t="s">
        <v>6</v>
      </c>
      <c r="D260" s="1" t="s">
        <v>284</v>
      </c>
      <c r="E260" s="1">
        <f t="shared" si="5"/>
        <v>-60</v>
      </c>
      <c r="F260" s="1" t="s">
        <v>8</v>
      </c>
      <c r="Q260" s="1">
        <v>60</v>
      </c>
    </row>
    <row r="261" spans="1:17">
      <c r="A261" s="1" t="s">
        <v>316</v>
      </c>
      <c r="B261" s="1" t="s">
        <v>5</v>
      </c>
      <c r="C261" s="1" t="s">
        <v>6</v>
      </c>
      <c r="D261" s="1" t="s">
        <v>106</v>
      </c>
      <c r="E261" s="1">
        <f t="shared" si="5"/>
        <v>-145</v>
      </c>
      <c r="F261" s="1" t="s">
        <v>8</v>
      </c>
      <c r="Q261" s="1">
        <v>145</v>
      </c>
    </row>
    <row r="262" spans="1:17">
      <c r="A262" s="1" t="s">
        <v>316</v>
      </c>
      <c r="B262" s="1" t="s">
        <v>5</v>
      </c>
      <c r="C262" s="1" t="s">
        <v>12</v>
      </c>
      <c r="D262" s="1" t="s">
        <v>306</v>
      </c>
      <c r="E262" s="1">
        <f t="shared" si="5"/>
        <v>-58</v>
      </c>
      <c r="F262" s="1" t="s">
        <v>8</v>
      </c>
      <c r="Q262" s="1">
        <v>58</v>
      </c>
    </row>
    <row r="263" spans="1:17">
      <c r="A263" s="1" t="s">
        <v>316</v>
      </c>
      <c r="B263" s="1" t="s">
        <v>5</v>
      </c>
      <c r="C263" s="1" t="s">
        <v>6</v>
      </c>
      <c r="D263" s="1" t="s">
        <v>11</v>
      </c>
      <c r="E263" s="1">
        <f t="shared" si="5"/>
        <v>-95</v>
      </c>
      <c r="F263" s="1" t="s">
        <v>8</v>
      </c>
      <c r="Q263" s="1">
        <v>95</v>
      </c>
    </row>
    <row r="264" spans="1:17">
      <c r="A264" s="1" t="s">
        <v>317</v>
      </c>
      <c r="B264" s="1" t="s">
        <v>5</v>
      </c>
      <c r="C264" s="1" t="s">
        <v>6</v>
      </c>
      <c r="D264" s="1" t="s">
        <v>124</v>
      </c>
      <c r="E264" s="1">
        <f t="shared" si="5"/>
        <v>-15</v>
      </c>
      <c r="F264" s="1" t="s">
        <v>8</v>
      </c>
      <c r="Q264" s="1">
        <v>15</v>
      </c>
    </row>
    <row r="265" spans="1:17">
      <c r="A265" s="1" t="s">
        <v>318</v>
      </c>
      <c r="B265" s="1" t="s">
        <v>5</v>
      </c>
      <c r="C265" s="1" t="s">
        <v>6</v>
      </c>
      <c r="D265" s="1" t="s">
        <v>11</v>
      </c>
      <c r="E265" s="1">
        <f t="shared" si="5"/>
        <v>-70</v>
      </c>
      <c r="F265" s="1" t="s">
        <v>8</v>
      </c>
      <c r="Q265" s="1">
        <v>70</v>
      </c>
    </row>
    <row r="266" spans="1:17">
      <c r="A266" s="1" t="s">
        <v>319</v>
      </c>
      <c r="B266" s="1" t="s">
        <v>5</v>
      </c>
      <c r="C266" s="1" t="s">
        <v>6</v>
      </c>
      <c r="D266" s="1" t="s">
        <v>262</v>
      </c>
      <c r="E266" s="1">
        <f t="shared" si="5"/>
        <v>-20</v>
      </c>
      <c r="F266" s="1" t="s">
        <v>8</v>
      </c>
      <c r="Q266" s="1">
        <v>20</v>
      </c>
    </row>
    <row r="267" spans="1:17">
      <c r="A267" s="1" t="s">
        <v>319</v>
      </c>
      <c r="B267" s="1" t="s">
        <v>5</v>
      </c>
      <c r="C267" s="1" t="s">
        <v>12</v>
      </c>
      <c r="D267" s="1" t="s">
        <v>306</v>
      </c>
      <c r="E267" s="1">
        <f t="shared" si="5"/>
        <v>-58</v>
      </c>
      <c r="F267" s="1" t="s">
        <v>8</v>
      </c>
      <c r="Q267" s="1">
        <v>58</v>
      </c>
    </row>
    <row r="268" spans="1:17">
      <c r="A268" s="1" t="s">
        <v>320</v>
      </c>
      <c r="B268" s="1" t="s">
        <v>5</v>
      </c>
      <c r="C268" s="1" t="s">
        <v>12</v>
      </c>
      <c r="D268" s="1" t="s">
        <v>306</v>
      </c>
      <c r="E268" s="1">
        <f t="shared" si="5"/>
        <v>-50</v>
      </c>
      <c r="F268" s="1" t="s">
        <v>8</v>
      </c>
      <c r="Q268" s="1">
        <v>50</v>
      </c>
    </row>
    <row r="269" spans="1:17">
      <c r="A269" s="1" t="s">
        <v>320</v>
      </c>
      <c r="B269" s="1" t="s">
        <v>5</v>
      </c>
      <c r="C269" s="1" t="s">
        <v>6</v>
      </c>
      <c r="D269" s="1" t="s">
        <v>11</v>
      </c>
      <c r="E269" s="1">
        <f t="shared" si="5"/>
        <v>-179</v>
      </c>
      <c r="F269" s="1" t="s">
        <v>8</v>
      </c>
      <c r="Q269" s="1">
        <v>179</v>
      </c>
    </row>
    <row r="270" spans="1:17">
      <c r="A270" s="1" t="s">
        <v>321</v>
      </c>
      <c r="B270" s="1" t="s">
        <v>5</v>
      </c>
      <c r="C270" s="1" t="s">
        <v>6</v>
      </c>
      <c r="D270" s="1" t="s">
        <v>11</v>
      </c>
      <c r="E270" s="1">
        <f t="shared" si="5"/>
        <v>-90</v>
      </c>
      <c r="F270" s="1" t="s">
        <v>8</v>
      </c>
      <c r="Q270" s="1">
        <v>90</v>
      </c>
    </row>
    <row r="271" spans="1:17">
      <c r="A271" s="1" t="s">
        <v>321</v>
      </c>
      <c r="B271" s="1" t="s">
        <v>5</v>
      </c>
      <c r="C271" s="1" t="s">
        <v>6</v>
      </c>
      <c r="D271" s="1" t="s">
        <v>106</v>
      </c>
      <c r="E271" s="1">
        <f t="shared" si="5"/>
        <v>-97</v>
      </c>
      <c r="F271" s="1" t="s">
        <v>8</v>
      </c>
      <c r="Q271" s="1">
        <v>97</v>
      </c>
    </row>
    <row r="272" spans="1:17">
      <c r="A272" s="1" t="s">
        <v>322</v>
      </c>
      <c r="B272" s="1" t="s">
        <v>5</v>
      </c>
      <c r="C272" s="1" t="s">
        <v>12</v>
      </c>
      <c r="D272" s="1" t="s">
        <v>306</v>
      </c>
      <c r="E272" s="1">
        <f t="shared" si="5"/>
        <v>-130</v>
      </c>
      <c r="F272" s="1" t="s">
        <v>8</v>
      </c>
      <c r="Q272" s="1">
        <v>130</v>
      </c>
    </row>
    <row r="273" spans="1:17">
      <c r="A273" s="1" t="s">
        <v>323</v>
      </c>
      <c r="B273" s="1" t="s">
        <v>5</v>
      </c>
      <c r="C273" s="1" t="s">
        <v>6</v>
      </c>
      <c r="D273" s="1" t="s">
        <v>23</v>
      </c>
      <c r="E273" s="1">
        <f t="shared" si="5"/>
        <v>-875</v>
      </c>
      <c r="F273" s="1" t="s">
        <v>8</v>
      </c>
      <c r="Q273" s="1">
        <v>875</v>
      </c>
    </row>
    <row r="274" spans="1:17">
      <c r="A274" s="1" t="s">
        <v>324</v>
      </c>
      <c r="B274" s="1" t="s">
        <v>5</v>
      </c>
      <c r="C274" s="1" t="s">
        <v>9</v>
      </c>
      <c r="D274" s="1" t="s">
        <v>325</v>
      </c>
      <c r="E274" s="1">
        <f t="shared" si="5"/>
        <v>2000</v>
      </c>
      <c r="F274" s="1" t="s">
        <v>16</v>
      </c>
      <c r="Q274" s="1">
        <v>2000</v>
      </c>
    </row>
  </sheetData>
  <conditionalFormatting sqref="F2:F1048576">
    <cfRule type="containsText" dxfId="1" priority="1" operator="containsText" text="Expense">
      <formula>NOT(ISERROR(SEARCH("Expense",F2)))</formula>
    </cfRule>
    <cfRule type="containsText" dxfId="0" priority="2" operator="containsText" text="Income">
      <formula>NOT(ISERROR(SEARCH("Income",F2)))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5046-E1D8-4178-B65B-71DA3306EE65}">
  <sheetPr>
    <tabColor theme="7" tint="0.79998168889431442"/>
  </sheetPr>
  <dimension ref="G2:R33"/>
  <sheetViews>
    <sheetView zoomScale="74" zoomScaleNormal="250" workbookViewId="0">
      <selection activeCell="G20" sqref="G20"/>
    </sheetView>
  </sheetViews>
  <sheetFormatPr defaultRowHeight="14.5"/>
  <cols>
    <col min="7" max="7" width="51.08984375" bestFit="1" customWidth="1"/>
  </cols>
  <sheetData>
    <row r="2" spans="7:18" ht="23.5">
      <c r="G2" s="3" t="s">
        <v>326</v>
      </c>
    </row>
    <row r="4" spans="7:18" ht="17.5">
      <c r="G4" s="4" t="s">
        <v>327</v>
      </c>
    </row>
    <row r="5" spans="7:18">
      <c r="G5" s="5"/>
    </row>
    <row r="6" spans="7:18">
      <c r="G6" s="6" t="s">
        <v>328</v>
      </c>
    </row>
    <row r="7" spans="7:18">
      <c r="G7" s="6" t="s">
        <v>329</v>
      </c>
      <c r="L7" t="s">
        <v>361</v>
      </c>
    </row>
    <row r="8" spans="7:18">
      <c r="G8" s="6" t="s">
        <v>330</v>
      </c>
    </row>
    <row r="9" spans="7:18">
      <c r="G9" s="6" t="s">
        <v>331</v>
      </c>
    </row>
    <row r="10" spans="7:18">
      <c r="G10" s="6" t="s">
        <v>360</v>
      </c>
    </row>
    <row r="11" spans="7:18">
      <c r="G11" s="6" t="s">
        <v>332</v>
      </c>
      <c r="L11" t="s">
        <v>364</v>
      </c>
    </row>
    <row r="15" spans="7:18" ht="17.5">
      <c r="G15" s="4" t="s">
        <v>333</v>
      </c>
      <c r="L15" t="s">
        <v>362</v>
      </c>
      <c r="R15" t="s">
        <v>363</v>
      </c>
    </row>
    <row r="16" spans="7:18">
      <c r="G16" s="5"/>
    </row>
    <row r="17" spans="7:7">
      <c r="G17" s="6" t="s">
        <v>334</v>
      </c>
    </row>
    <row r="18" spans="7:7">
      <c r="G18" s="6" t="s">
        <v>335</v>
      </c>
    </row>
    <row r="19" spans="7:7">
      <c r="G19" s="6" t="s">
        <v>336</v>
      </c>
    </row>
    <row r="20" spans="7:7">
      <c r="G20" s="6" t="s">
        <v>337</v>
      </c>
    </row>
    <row r="21" spans="7:7">
      <c r="G21" s="6" t="s">
        <v>338</v>
      </c>
    </row>
    <row r="22" spans="7:7">
      <c r="G22" s="6" t="s">
        <v>339</v>
      </c>
    </row>
    <row r="23" spans="7:7">
      <c r="G23" s="6" t="s">
        <v>340</v>
      </c>
    </row>
    <row r="24" spans="7:7" ht="17.5">
      <c r="G24" s="4" t="s">
        <v>341</v>
      </c>
    </row>
    <row r="25" spans="7:7">
      <c r="G25" s="5"/>
    </row>
    <row r="26" spans="7:7">
      <c r="G26" s="6" t="s">
        <v>342</v>
      </c>
    </row>
    <row r="30" spans="7:7" ht="17.5">
      <c r="G30" s="4" t="s">
        <v>343</v>
      </c>
    </row>
    <row r="31" spans="7:7">
      <c r="G31" s="5"/>
    </row>
    <row r="32" spans="7:7">
      <c r="G32" s="6" t="s">
        <v>344</v>
      </c>
    </row>
    <row r="33" spans="7:7">
      <c r="G33" s="6" t="s">
        <v>345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9B57-1911-4294-AB6A-5EA0F04782C9}">
  <sheetPr>
    <tabColor rgb="FFF3F7F6"/>
  </sheetPr>
  <dimension ref="T27"/>
  <sheetViews>
    <sheetView tabSelected="1" zoomScaleNormal="100" workbookViewId="0">
      <selection activeCell="T1" sqref="T1"/>
    </sheetView>
  </sheetViews>
  <sheetFormatPr defaultRowHeight="14.5"/>
  <cols>
    <col min="1" max="16384" width="8.7265625" style="7"/>
  </cols>
  <sheetData>
    <row r="27" spans="20:20">
      <c r="T2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piovet</vt:lpstr>
      <vt:lpstr>piovet 2</vt:lpstr>
      <vt:lpstr>design</vt:lpstr>
      <vt:lpstr>main data</vt:lpstr>
      <vt:lpstr>theme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Pranam chand</dc:creator>
  <cp:lastModifiedBy>pranam chand</cp:lastModifiedBy>
  <dcterms:created xsi:type="dcterms:W3CDTF">2026-03-21T15:09:34Z</dcterms:created>
  <dcterms:modified xsi:type="dcterms:W3CDTF">2026-03-24T11:01:09Z</dcterms:modified>
</cp:coreProperties>
</file>